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oham\Downloads\"/>
    </mc:Choice>
  </mc:AlternateContent>
  <xr:revisionPtr revIDLastSave="0" documentId="13_ncr:1_{8374199B-89C5-4F3F-8170-7584019BFAA6}" xr6:coauthVersionLast="47" xr6:coauthVersionMax="47" xr10:uidLastSave="{00000000-0000-0000-0000-000000000000}"/>
  <bookViews>
    <workbookView xWindow="-108" yWindow="-108" windowWidth="23256" windowHeight="12456" activeTab="3" xr2:uid="{00000000-000D-0000-FFFF-FFFF00000000}"/>
  </bookViews>
  <sheets>
    <sheet name="11" sheetId="1" r:id="rId1"/>
    <sheet name="13" sheetId="3" r:id="rId2"/>
    <sheet name="Micro" sheetId="2" r:id="rId3"/>
    <sheet name="1M"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0" i="2" l="1"/>
  <c r="O3" i="2"/>
  <c r="O4" i="2"/>
  <c r="O5" i="2"/>
  <c r="O6" i="2"/>
  <c r="O7" i="2"/>
  <c r="O8" i="2"/>
  <c r="O9" i="2"/>
  <c r="O10" i="2"/>
  <c r="O11" i="2"/>
  <c r="O12" i="2"/>
  <c r="O13" i="2"/>
  <c r="O14" i="2"/>
  <c r="O15" i="2"/>
  <c r="O16" i="2"/>
  <c r="O17" i="2"/>
  <c r="O18" i="2"/>
  <c r="O19" i="2"/>
  <c r="O20" i="2"/>
  <c r="O21" i="2"/>
  <c r="O22" i="2"/>
  <c r="O23" i="2"/>
  <c r="O25" i="2"/>
  <c r="O26" i="2"/>
  <c r="O27"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2" i="2"/>
  <c r="O50" i="1" a="1"/>
  <c r="O50" i="1" s="1"/>
  <c r="P50" i="1" s="1"/>
  <c r="L17" i="2"/>
  <c r="K17" i="2"/>
  <c r="M3" i="2"/>
  <c r="M4" i="2"/>
  <c r="M5" i="2"/>
  <c r="M6" i="2"/>
  <c r="M7" i="2"/>
  <c r="M8" i="2"/>
  <c r="M9" i="2"/>
  <c r="M10" i="2"/>
  <c r="M11" i="2"/>
  <c r="M12" i="2"/>
  <c r="M13" i="2"/>
  <c r="M14" i="2"/>
  <c r="M15" i="2"/>
  <c r="M16" i="2"/>
  <c r="M17" i="2"/>
  <c r="M18" i="2"/>
  <c r="M19" i="2"/>
  <c r="M20" i="2"/>
  <c r="M21" i="2"/>
  <c r="M22" i="2"/>
  <c r="M23" i="2"/>
  <c r="M24" i="2"/>
  <c r="M25" i="2"/>
  <c r="M26" i="2"/>
  <c r="M27" i="2"/>
  <c r="M30" i="2"/>
  <c r="M31" i="2"/>
  <c r="M32" i="2"/>
  <c r="M33" i="2"/>
  <c r="M34" i="2"/>
  <c r="M35" i="2"/>
  <c r="M36" i="2"/>
  <c r="M37" i="2"/>
  <c r="M38" i="2"/>
  <c r="M39" i="2"/>
  <c r="M40" i="2"/>
  <c r="M41" i="2"/>
  <c r="M42" i="2"/>
  <c r="M43" i="2"/>
  <c r="M44" i="2"/>
  <c r="M45" i="2"/>
  <c r="M46" i="2"/>
  <c r="M47" i="2"/>
  <c r="M48" i="2"/>
  <c r="M49" i="2"/>
  <c r="M50" i="2"/>
  <c r="M51" i="2"/>
  <c r="M52" i="2"/>
  <c r="M53" i="2"/>
  <c r="M54" i="2"/>
  <c r="M55" i="2"/>
  <c r="M56" i="2"/>
  <c r="M2" i="2"/>
  <c r="I48" i="2"/>
  <c r="I49" i="2"/>
  <c r="I50" i="2"/>
  <c r="I51" i="2"/>
  <c r="L51" i="2" s="1"/>
  <c r="I52" i="2"/>
  <c r="I53" i="2"/>
  <c r="I54" i="2"/>
  <c r="I55" i="2"/>
  <c r="L55" i="2" s="1"/>
  <c r="J49" i="2"/>
  <c r="J50" i="2"/>
  <c r="J51" i="2"/>
  <c r="J52" i="2"/>
  <c r="K52" i="2" s="1"/>
  <c r="J53" i="2"/>
  <c r="J54" i="2"/>
  <c r="J55" i="2"/>
  <c r="J48" i="2"/>
  <c r="K48" i="2" s="1"/>
  <c r="K49" i="2"/>
  <c r="K50" i="2"/>
  <c r="K51" i="2"/>
  <c r="K53" i="2"/>
  <c r="K54" i="2"/>
  <c r="K55" i="2"/>
  <c r="L49" i="2"/>
  <c r="L50" i="2"/>
  <c r="L52" i="2"/>
  <c r="L53" i="2"/>
  <c r="L54" i="2"/>
  <c r="L48" i="2"/>
  <c r="J57" i="2"/>
  <c r="K57" i="2" s="1"/>
  <c r="I57" i="2"/>
  <c r="L57" i="2" s="1"/>
  <c r="J56" i="2"/>
  <c r="K56" i="2" s="1"/>
  <c r="I56" i="2"/>
  <c r="L56" i="2" s="1"/>
  <c r="O150" i="1"/>
  <c r="P150" i="1" s="1"/>
  <c r="S150" i="1" s="1"/>
  <c r="Q150" i="1"/>
  <c r="I17" i="2"/>
  <c r="J17" i="2"/>
  <c r="Q46" i="3"/>
  <c r="Q31" i="3"/>
  <c r="O31" i="3"/>
  <c r="M31" i="3"/>
  <c r="N31" i="3" s="1"/>
  <c r="J40" i="2"/>
  <c r="J41" i="2"/>
  <c r="J42" i="2"/>
  <c r="J43" i="2"/>
  <c r="J44" i="2"/>
  <c r="J45" i="2"/>
  <c r="J46" i="2"/>
  <c r="J47" i="2"/>
  <c r="J39" i="2"/>
  <c r="J33" i="2"/>
  <c r="J34" i="2"/>
  <c r="J35" i="2"/>
  <c r="J36" i="2"/>
  <c r="J37" i="2"/>
  <c r="J38" i="2"/>
  <c r="J32" i="2"/>
  <c r="J16" i="2"/>
  <c r="J18" i="2"/>
  <c r="J19" i="2"/>
  <c r="J20" i="2"/>
  <c r="J21" i="2"/>
  <c r="J22" i="2"/>
  <c r="J23" i="2"/>
  <c r="J24" i="2"/>
  <c r="J25" i="2"/>
  <c r="J26" i="2"/>
  <c r="J27" i="2"/>
  <c r="J30" i="2"/>
  <c r="J31" i="2"/>
  <c r="J7" i="2"/>
  <c r="J8" i="2"/>
  <c r="K8" i="2" s="1"/>
  <c r="J9" i="2"/>
  <c r="K9" i="2" s="1"/>
  <c r="J10" i="2"/>
  <c r="K10" i="2" s="1"/>
  <c r="J11" i="2"/>
  <c r="K11" i="2" s="1"/>
  <c r="J12" i="2"/>
  <c r="K12" i="2" s="1"/>
  <c r="J13" i="2"/>
  <c r="K13" i="2" s="1"/>
  <c r="J14" i="2"/>
  <c r="K14" i="2" s="1"/>
  <c r="J15" i="2"/>
  <c r="J6" i="2"/>
  <c r="K6" i="2" s="1"/>
  <c r="M41" i="3"/>
  <c r="M33" i="3"/>
  <c r="N33" i="3" s="1"/>
  <c r="M17" i="3"/>
  <c r="Q99" i="1"/>
  <c r="Q62" i="1"/>
  <c r="Q50" i="1"/>
  <c r="O144" i="1" l="1"/>
  <c r="P144" i="1" s="1"/>
  <c r="O141" i="1"/>
  <c r="P141" i="1" s="1"/>
  <c r="O138" i="1" a="1"/>
  <c r="O138" i="1" s="1"/>
  <c r="P138" i="1" s="1"/>
  <c r="S138" i="1" s="1"/>
  <c r="O135" i="1" a="1"/>
  <c r="O135" i="1" s="1"/>
  <c r="Q147" i="1"/>
  <c r="O147" i="1"/>
  <c r="P147" i="1" s="1"/>
  <c r="S147" i="1" s="1"/>
  <c r="Q144" i="1"/>
  <c r="Q141" i="1"/>
  <c r="Q138" i="1"/>
  <c r="Q135" i="1"/>
  <c r="S135" i="1" s="1"/>
  <c r="O2" i="1" a="1"/>
  <c r="O2" i="1" s="1"/>
  <c r="P2" i="1" s="1"/>
  <c r="K40" i="2"/>
  <c r="K41" i="2"/>
  <c r="K42" i="2"/>
  <c r="K43" i="2"/>
  <c r="K44" i="2"/>
  <c r="K45" i="2"/>
  <c r="K46" i="2"/>
  <c r="K47" i="2"/>
  <c r="K39" i="2"/>
  <c r="K33" i="2"/>
  <c r="K34" i="2"/>
  <c r="K35" i="2"/>
  <c r="K36" i="2"/>
  <c r="K37" i="2"/>
  <c r="K38" i="2"/>
  <c r="K32" i="2"/>
  <c r="K16" i="2"/>
  <c r="K18" i="2"/>
  <c r="K19" i="2"/>
  <c r="K20" i="2"/>
  <c r="K21" i="2"/>
  <c r="K22" i="2"/>
  <c r="K23" i="2"/>
  <c r="K24" i="2"/>
  <c r="K25" i="2"/>
  <c r="K26" i="2"/>
  <c r="K27" i="2"/>
  <c r="K30" i="2"/>
  <c r="K31" i="2"/>
  <c r="K15" i="2"/>
  <c r="K7" i="2"/>
  <c r="I3" i="2"/>
  <c r="L3" i="2" s="1"/>
  <c r="I4" i="2"/>
  <c r="L4" i="2" s="1"/>
  <c r="I5" i="2"/>
  <c r="L5" i="2" s="1"/>
  <c r="I6" i="2"/>
  <c r="L6" i="2" s="1"/>
  <c r="I7" i="2"/>
  <c r="L7" i="2" s="1"/>
  <c r="I8" i="2"/>
  <c r="L8" i="2" s="1"/>
  <c r="I9" i="2"/>
  <c r="L9" i="2" s="1"/>
  <c r="I10" i="2"/>
  <c r="L10" i="2" s="1"/>
  <c r="I11" i="2"/>
  <c r="L11" i="2" s="1"/>
  <c r="I12" i="2"/>
  <c r="L12" i="2" s="1"/>
  <c r="I13" i="2"/>
  <c r="L13" i="2" s="1"/>
  <c r="I14" i="2"/>
  <c r="L14" i="2" s="1"/>
  <c r="I15" i="2"/>
  <c r="L15" i="2" s="1"/>
  <c r="I16" i="2"/>
  <c r="L16" i="2" s="1"/>
  <c r="I18" i="2"/>
  <c r="L18" i="2" s="1"/>
  <c r="I19" i="2"/>
  <c r="L19" i="2" s="1"/>
  <c r="I20" i="2"/>
  <c r="L20" i="2" s="1"/>
  <c r="I21" i="2"/>
  <c r="L21" i="2" s="1"/>
  <c r="I22" i="2"/>
  <c r="L22" i="2" s="1"/>
  <c r="I23" i="2"/>
  <c r="L23" i="2" s="1"/>
  <c r="I24" i="2"/>
  <c r="L24" i="2" s="1"/>
  <c r="I25" i="2"/>
  <c r="L25" i="2" s="1"/>
  <c r="I26" i="2"/>
  <c r="L26" i="2" s="1"/>
  <c r="I27" i="2"/>
  <c r="L27" i="2" s="1"/>
  <c r="I30" i="2"/>
  <c r="L30" i="2" s="1"/>
  <c r="I31" i="2"/>
  <c r="L31" i="2" s="1"/>
  <c r="I32" i="2"/>
  <c r="L32" i="2" s="1"/>
  <c r="I33" i="2"/>
  <c r="L33" i="2" s="1"/>
  <c r="I34" i="2"/>
  <c r="L34" i="2" s="1"/>
  <c r="I35" i="2"/>
  <c r="L35" i="2" s="1"/>
  <c r="I36" i="2"/>
  <c r="L36" i="2" s="1"/>
  <c r="I37" i="2"/>
  <c r="L37" i="2" s="1"/>
  <c r="I38" i="2"/>
  <c r="L38" i="2" s="1"/>
  <c r="I39" i="2"/>
  <c r="L39" i="2" s="1"/>
  <c r="I40" i="2"/>
  <c r="L40" i="2" s="1"/>
  <c r="I41" i="2"/>
  <c r="L41" i="2" s="1"/>
  <c r="I42" i="2"/>
  <c r="L42" i="2" s="1"/>
  <c r="I43" i="2"/>
  <c r="L43" i="2" s="1"/>
  <c r="I44" i="2"/>
  <c r="L44" i="2" s="1"/>
  <c r="I45" i="2"/>
  <c r="L45" i="2" s="1"/>
  <c r="I46" i="2"/>
  <c r="L46" i="2" s="1"/>
  <c r="I47" i="2"/>
  <c r="L47" i="2" s="1"/>
  <c r="I2" i="2"/>
  <c r="O111" i="1" a="1"/>
  <c r="O111" i="1" s="1"/>
  <c r="O41" i="1"/>
  <c r="O38" i="1" a="1"/>
  <c r="O38" i="1" s="1"/>
  <c r="O5" i="3"/>
  <c r="O9" i="3"/>
  <c r="O12" i="3"/>
  <c r="O15" i="3"/>
  <c r="O17" i="3"/>
  <c r="O21" i="3"/>
  <c r="O25" i="3"/>
  <c r="O33" i="3"/>
  <c r="Q33" i="3" s="1"/>
  <c r="O37" i="3"/>
  <c r="O41" i="3"/>
  <c r="O2" i="3"/>
  <c r="M60" i="2"/>
  <c r="Q41" i="1"/>
  <c r="Q6" i="1"/>
  <c r="Q11" i="1"/>
  <c r="Q13" i="1"/>
  <c r="Q16" i="1"/>
  <c r="Q19" i="1"/>
  <c r="Q23" i="1"/>
  <c r="Q26" i="1"/>
  <c r="Q28" i="1"/>
  <c r="Q31" i="1"/>
  <c r="Q33" i="1"/>
  <c r="Q38" i="1"/>
  <c r="Q44" i="1"/>
  <c r="Q55" i="1"/>
  <c r="Q57" i="1"/>
  <c r="Q66" i="1"/>
  <c r="Q69" i="1"/>
  <c r="Q72" i="1"/>
  <c r="Q75" i="1"/>
  <c r="Q79" i="1"/>
  <c r="Q84" i="1"/>
  <c r="Q87" i="1"/>
  <c r="Q89" i="1"/>
  <c r="Q91" i="1"/>
  <c r="Q95" i="1"/>
  <c r="Q97" i="1"/>
  <c r="Q103" i="1"/>
  <c r="Q107" i="1"/>
  <c r="Q111" i="1"/>
  <c r="Q116" i="1"/>
  <c r="Q118" i="1"/>
  <c r="Q120" i="1"/>
  <c r="S120" i="1" s="1"/>
  <c r="Q123" i="1"/>
  <c r="Q126" i="1"/>
  <c r="Q129" i="1"/>
  <c r="Q132" i="1"/>
  <c r="Q2" i="1"/>
  <c r="S2" i="1" l="1"/>
  <c r="Q153" i="1"/>
  <c r="I60" i="2"/>
  <c r="L2" i="2"/>
  <c r="L60" i="2" s="1"/>
  <c r="L63" i="2" s="1"/>
  <c r="S144" i="1"/>
  <c r="O46" i="3"/>
  <c r="J3" i="2"/>
  <c r="K3" i="2" s="1"/>
  <c r="J4" i="2"/>
  <c r="K4" i="2" s="1"/>
  <c r="J5" i="2"/>
  <c r="K5" i="2" s="1"/>
  <c r="J2" i="2"/>
  <c r="K2" i="2" s="1"/>
  <c r="N41" i="3"/>
  <c r="Q41" i="3" s="1"/>
  <c r="M37" i="3"/>
  <c r="N37" i="3" s="1"/>
  <c r="Q37" i="3" s="1"/>
  <c r="M25" i="3"/>
  <c r="N25" i="3" s="1"/>
  <c r="Q25" i="3" s="1"/>
  <c r="M21" i="3"/>
  <c r="N21" i="3" s="1"/>
  <c r="Q21" i="3" s="1"/>
  <c r="N17" i="3"/>
  <c r="Q17" i="3" s="1"/>
  <c r="M15" i="3"/>
  <c r="N15" i="3" s="1"/>
  <c r="Q15" i="3" s="1"/>
  <c r="M12" i="3"/>
  <c r="N12" i="3" s="1"/>
  <c r="Q12" i="3" s="1"/>
  <c r="N9" i="3"/>
  <c r="Q9" i="3" s="1"/>
  <c r="M5" i="3"/>
  <c r="N5" i="3" s="1"/>
  <c r="Q5" i="3" s="1"/>
  <c r="M2" i="3"/>
  <c r="O123" i="1" a="1"/>
  <c r="O123" i="1" s="1"/>
  <c r="P123" i="1" s="1"/>
  <c r="S123" i="1" s="1"/>
  <c r="O120" i="1" a="1"/>
  <c r="O120" i="1" s="1"/>
  <c r="P111" i="1"/>
  <c r="S111" i="1" s="1"/>
  <c r="O103" i="1" a="1"/>
  <c r="O103" i="1" s="1"/>
  <c r="P103" i="1" s="1"/>
  <c r="S103" i="1" s="1"/>
  <c r="O99" i="1" a="1"/>
  <c r="O99" i="1" s="1"/>
  <c r="P99" i="1" s="1"/>
  <c r="S99" i="1" s="1"/>
  <c r="O91" i="1" a="1"/>
  <c r="O91" i="1" s="1"/>
  <c r="P91" i="1" s="1"/>
  <c r="S91" i="1" s="1"/>
  <c r="O87" i="1"/>
  <c r="P87" i="1" s="1"/>
  <c r="S87" i="1" s="1"/>
  <c r="O79" i="1" a="1"/>
  <c r="O79" i="1" s="1"/>
  <c r="P79" i="1" s="1"/>
  <c r="S79" i="1" s="1"/>
  <c r="O75" i="1" a="1"/>
  <c r="O75" i="1" s="1"/>
  <c r="P75" i="1" s="1"/>
  <c r="S75" i="1" s="1"/>
  <c r="O72" i="1"/>
  <c r="P72" i="1" s="1"/>
  <c r="S72" i="1" s="1"/>
  <c r="O62" i="1" a="1"/>
  <c r="O62" i="1" s="1"/>
  <c r="P62" i="1" s="1"/>
  <c r="S62" i="1" s="1"/>
  <c r="O57" i="1" a="1"/>
  <c r="O57" i="1" s="1"/>
  <c r="P57" i="1" s="1"/>
  <c r="S57" i="1" s="1"/>
  <c r="S50" i="1"/>
  <c r="O44" i="1" a="1"/>
  <c r="O44" i="1" s="1"/>
  <c r="P44" i="1" s="1"/>
  <c r="S44" i="1" s="1"/>
  <c r="O132" i="1"/>
  <c r="P132" i="1" s="1"/>
  <c r="O129" i="1"/>
  <c r="P129" i="1" s="1"/>
  <c r="S129" i="1" s="1"/>
  <c r="O126" i="1"/>
  <c r="P126" i="1" s="1"/>
  <c r="S126" i="1" s="1"/>
  <c r="O118" i="1"/>
  <c r="P118" i="1" s="1"/>
  <c r="O116" i="1"/>
  <c r="P116" i="1" s="1"/>
  <c r="O107" i="1"/>
  <c r="P107" i="1" s="1"/>
  <c r="S107" i="1" s="1"/>
  <c r="O97" i="1"/>
  <c r="P97" i="1" s="1"/>
  <c r="S97" i="1" s="1"/>
  <c r="O95" i="1"/>
  <c r="P95" i="1" s="1"/>
  <c r="S95" i="1" s="1"/>
  <c r="O89" i="1"/>
  <c r="P89" i="1" s="1"/>
  <c r="S89" i="1" s="1"/>
  <c r="O84" i="1"/>
  <c r="P84" i="1" s="1"/>
  <c r="S84" i="1" s="1"/>
  <c r="O69" i="1"/>
  <c r="P69" i="1" s="1"/>
  <c r="S69" i="1" s="1"/>
  <c r="O66" i="1"/>
  <c r="P66" i="1" s="1"/>
  <c r="S66" i="1" s="1"/>
  <c r="O55" i="1"/>
  <c r="P55" i="1" s="1"/>
  <c r="S55" i="1" s="1"/>
  <c r="P41" i="1"/>
  <c r="S41" i="1" s="1"/>
  <c r="P38" i="1"/>
  <c r="S38" i="1" s="1"/>
  <c r="O33" i="1" a="1"/>
  <c r="O33" i="1" s="1"/>
  <c r="P33" i="1" s="1"/>
  <c r="S33" i="1" s="1"/>
  <c r="O28" i="1" a="1"/>
  <c r="O28" i="1" s="1"/>
  <c r="P28" i="1" s="1"/>
  <c r="S28" i="1" s="1"/>
  <c r="O26" i="1"/>
  <c r="P26" i="1" s="1"/>
  <c r="S26" i="1" s="1"/>
  <c r="O23" i="1" a="1"/>
  <c r="O23" i="1" s="1"/>
  <c r="P23" i="1" s="1"/>
  <c r="S23" i="1" s="1"/>
  <c r="O19" i="1" a="1"/>
  <c r="O19" i="1" s="1"/>
  <c r="P19" i="1" s="1"/>
  <c r="S19" i="1" s="1"/>
  <c r="O16" i="1" a="1"/>
  <c r="O16" i="1" s="1"/>
  <c r="P16" i="1" s="1"/>
  <c r="S16" i="1" s="1"/>
  <c r="O13" i="1" a="1"/>
  <c r="O13" i="1" s="1"/>
  <c r="P13" i="1" s="1"/>
  <c r="S13" i="1" s="1"/>
  <c r="O31" i="1"/>
  <c r="P31" i="1" s="1"/>
  <c r="S31" i="1" s="1"/>
  <c r="O11" i="1"/>
  <c r="P11" i="1" s="1"/>
  <c r="S11" i="1" s="1"/>
  <c r="O6" i="1" a="1"/>
  <c r="O6" i="1" s="1"/>
  <c r="P6" i="1" s="1"/>
  <c r="S6" i="1" s="1"/>
  <c r="P153" i="1" l="1"/>
  <c r="P156" i="1" s="1"/>
  <c r="S153" i="1"/>
  <c r="K60" i="2"/>
  <c r="K63" i="2" s="1"/>
  <c r="M46" i="3"/>
  <c r="N2" i="3"/>
  <c r="J60" i="2"/>
  <c r="O153" i="1"/>
  <c r="N46" i="3" l="1"/>
  <c r="N4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tc={e766ba23-d1b1-4b1c-848d-b669c2960968}</author>
    <author>tc={bdbea5a3-6111-45b2-bd09-2709ad79bf3b}</author>
    <author>tc={c2ee1205-79db-452e-91aa-7c8a2e84f11c}</author>
  </authors>
  <commentList>
    <comment ref="D1" authorId="0" shapeId="0" xr:uid="{00000000-0006-0000-0000-000001000000}">
      <text>
        <r>
          <rPr>
            <sz val="10"/>
            <color rgb="FF000000"/>
            <rFont val="Arial"/>
            <scheme val="minor"/>
          </rPr>
          <t xml:space="preserve">This is to make sure the classes are running based on the amount they have paid. Classes should pause if the payment is over due. </t>
        </r>
      </text>
    </comment>
    <comment ref="H16" authorId="1" shapeId="0" xr:uid="{E766BA23-D1B1-4B1C-848D-B669C296096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Biology dropped
</t>
        </r>
      </text>
    </comment>
    <comment ref="J44" authorId="2" shapeId="0" xr:uid="{BDBEA5A3-6111-45B2-BD09-2709AD79BF3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36000  for maths and hindi,joined date 2/10/2026
</t>
        </r>
      </text>
    </comment>
    <comment ref="J62" authorId="3" shapeId="0" xr:uid="{C2EE1205-79DB-452E-91AA-7C8A2E84F1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27k for biology-joined date 2/10/2026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tc={3c39eb4f-0480-40f2-9018-e14fdc2081eb}</author>
    <author>tc={1a7ffd4b-4aab-4323-9532-895828b8e8d2}</author>
    <author>tc={16c4ac67-0aec-4090-bebd-ddc6184daa11}</author>
    <author>tc={f5180599-a573-48f7-bb43-e3fff8e7552c}</author>
  </authors>
  <commentList>
    <comment ref="E3" authorId="0" shapeId="0" xr:uid="{3C39EB4F-0480-40F2-9018-E14FDC2081E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Physics dropped(1/10/2026)
</t>
        </r>
      </text>
    </comment>
    <comment ref="E5" authorId="1" shapeId="0" xr:uid="{1A7FFD4B-4AAB-4323-9532-895828B8E8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Physics dropped 1/9/2026)
</t>
        </r>
      </text>
    </comment>
    <comment ref="B17" authorId="2" shapeId="0" xr:uid="{16C4AC67-0AEC-4090-BEBD-DDC6184DAA1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taking a break
</t>
        </r>
      </text>
    </comment>
    <comment ref="H33" authorId="3" shapeId="0" xr:uid="{F5180599-A573-48F7-BB43-E3FFF8E755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Science+SS 1:1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<sst xmlns="http://schemas.openxmlformats.org/spreadsheetml/2006/main" count="469" uniqueCount="234">
  <si>
    <t>SL NO</t>
  </si>
  <si>
    <t>Student Full Name</t>
  </si>
  <si>
    <t xml:space="preserve">No. </t>
  </si>
  <si>
    <t>Students</t>
  </si>
  <si>
    <t xml:space="preserve">Current Class </t>
  </si>
  <si>
    <t>Stream</t>
  </si>
  <si>
    <t>Student</t>
  </si>
  <si>
    <t>Total Fee</t>
  </si>
  <si>
    <t>Class</t>
  </si>
  <si>
    <t>Place</t>
  </si>
  <si>
    <t>Subjects</t>
  </si>
  <si>
    <t>Fee Collected</t>
  </si>
  <si>
    <t>Payment Per Session</t>
  </si>
  <si>
    <t>Total Hours/Month</t>
  </si>
  <si>
    <t>No.of Classes</t>
  </si>
  <si>
    <t>Advance Pay</t>
  </si>
  <si>
    <t>Kailas Viswanath S</t>
  </si>
  <si>
    <t>Classes per Month</t>
  </si>
  <si>
    <t>Payment received</t>
  </si>
  <si>
    <t xml:space="preserve">Advance Fee </t>
  </si>
  <si>
    <t>Payment Received</t>
  </si>
  <si>
    <t>Abdul Hannan Sifin</t>
  </si>
  <si>
    <t>Fadhi Rahman</t>
  </si>
  <si>
    <t>Maths-6</t>
  </si>
  <si>
    <t xml:space="preserve">Qatar </t>
  </si>
  <si>
    <t>All Subject</t>
  </si>
  <si>
    <t>Manha Jasim</t>
  </si>
  <si>
    <t xml:space="preserve">Aamina </t>
  </si>
  <si>
    <t>Maths</t>
  </si>
  <si>
    <t>Physics-6</t>
  </si>
  <si>
    <t>Mihira  Nair</t>
  </si>
  <si>
    <t>Physics</t>
  </si>
  <si>
    <t>Bio Sci</t>
  </si>
  <si>
    <t>Chemistry-6</t>
  </si>
  <si>
    <t xml:space="preserve">Aadhya Binoi </t>
  </si>
  <si>
    <t xml:space="preserve"> Nova Ann Biji</t>
  </si>
  <si>
    <t>Hridya CB</t>
  </si>
  <si>
    <t>6000/-</t>
  </si>
  <si>
    <t>Christina  Biju</t>
  </si>
  <si>
    <t>Shreya.C.M</t>
  </si>
  <si>
    <t>PCM</t>
  </si>
  <si>
    <t>Megha Praveen</t>
  </si>
  <si>
    <t>Chemistry</t>
  </si>
  <si>
    <t>Prathyush. kj</t>
  </si>
  <si>
    <t>6600/-</t>
  </si>
  <si>
    <t>Sukritha S Kumar</t>
  </si>
  <si>
    <t>Anikha Vinod</t>
  </si>
  <si>
    <t>MATHS</t>
  </si>
  <si>
    <t xml:space="preserve">NATHANIA JIBIN </t>
  </si>
  <si>
    <t xml:space="preserve">Midhulesh </t>
  </si>
  <si>
    <t>Mohammed Ihsan</t>
  </si>
  <si>
    <t>Alisha Fathima</t>
  </si>
  <si>
    <t xml:space="preserve"> Gouri Nanda D. S</t>
  </si>
  <si>
    <t>Saudi</t>
  </si>
  <si>
    <t>Shezad Rahman</t>
  </si>
  <si>
    <t>10200/-</t>
  </si>
  <si>
    <t xml:space="preserve">Aadhil Awam </t>
  </si>
  <si>
    <t>PHYSICS</t>
  </si>
  <si>
    <t>Azan</t>
  </si>
  <si>
    <t>Biology-6</t>
  </si>
  <si>
    <t>Mohammed Rehan Ali</t>
  </si>
  <si>
    <t>Afnitha</t>
  </si>
  <si>
    <t>Physics-4</t>
  </si>
  <si>
    <t>5000/-</t>
  </si>
  <si>
    <t>Aadi Dev</t>
  </si>
  <si>
    <t>Liz Luke Kurien</t>
  </si>
  <si>
    <t>SCIENCE</t>
  </si>
  <si>
    <t xml:space="preserve">Muhammed Sinan </t>
  </si>
  <si>
    <t>60000/-</t>
  </si>
  <si>
    <t>Vedhika Vinay</t>
  </si>
  <si>
    <t>Chemistry-4</t>
  </si>
  <si>
    <t>Biology-4</t>
  </si>
  <si>
    <t>Nawar</t>
  </si>
  <si>
    <t xml:space="preserve"> Brayden Anil</t>
  </si>
  <si>
    <t>PCB</t>
  </si>
  <si>
    <t>Kaitlin Francis</t>
  </si>
  <si>
    <t>Biology</t>
  </si>
  <si>
    <t>Vaiga H</t>
  </si>
  <si>
    <t>100% scholarship</t>
  </si>
  <si>
    <t>24000/-</t>
  </si>
  <si>
    <t>2400/-</t>
  </si>
  <si>
    <t>Muhammed Noul NK</t>
  </si>
  <si>
    <t>Hindi-4</t>
  </si>
  <si>
    <t>Raya Fathima Panachikal Sinar</t>
  </si>
  <si>
    <t xml:space="preserve"> Raihan Muhammed A S</t>
  </si>
  <si>
    <t>Isha Mariyam Panachikal Sinar</t>
  </si>
  <si>
    <t>Fellah Fathima</t>
  </si>
  <si>
    <t>Muhamed Adam Yoosaf</t>
  </si>
  <si>
    <t>76500/-</t>
  </si>
  <si>
    <t>Fennah Fathima(41)</t>
  </si>
  <si>
    <t xml:space="preserve">Alvina  paulachan </t>
  </si>
  <si>
    <t>Vishwajith</t>
  </si>
  <si>
    <t>Accountancy</t>
  </si>
  <si>
    <t>Mohammed Armaan</t>
  </si>
  <si>
    <t>None</t>
  </si>
  <si>
    <t xml:space="preserve"> Isna Iqbal </t>
  </si>
  <si>
    <t>Comp Sci</t>
  </si>
  <si>
    <t>3000/-</t>
  </si>
  <si>
    <t xml:space="preserve">Rehan Mehrin </t>
  </si>
  <si>
    <t xml:space="preserve">Midhuna </t>
  </si>
  <si>
    <t xml:space="preserve">Kuwait </t>
  </si>
  <si>
    <t>Ranjiv Varghese Abraham</t>
  </si>
  <si>
    <t>Alda Anna Tijo</t>
  </si>
  <si>
    <t xml:space="preserve"> BHOOMIKA Abhilash</t>
  </si>
  <si>
    <t xml:space="preserve"> Eric George</t>
  </si>
  <si>
    <t>PC</t>
  </si>
  <si>
    <t>4000/-</t>
  </si>
  <si>
    <t>Krishnaveni</t>
  </si>
  <si>
    <t>2000/-</t>
  </si>
  <si>
    <t>Abbigail M Varghese</t>
  </si>
  <si>
    <t>Anshiya mary</t>
  </si>
  <si>
    <t xml:space="preserve">Fayha Shameer </t>
  </si>
  <si>
    <t>Economics</t>
  </si>
  <si>
    <t>Salva Sathar</t>
  </si>
  <si>
    <t>Ahaan</t>
  </si>
  <si>
    <t>Muhammed Shazin</t>
  </si>
  <si>
    <t xml:space="preserve"> Ann Mary Jijo</t>
  </si>
  <si>
    <t xml:space="preserve"> Muhammad Mizhab</t>
  </si>
  <si>
    <t>Rofin Denni</t>
  </si>
  <si>
    <t>48000/-</t>
  </si>
  <si>
    <t>Jithu Jaijee Joy</t>
  </si>
  <si>
    <t>Maryam Nousin</t>
  </si>
  <si>
    <t>Abu Dhabi</t>
  </si>
  <si>
    <t xml:space="preserve">Abel </t>
  </si>
  <si>
    <t>Adithroop M</t>
  </si>
  <si>
    <t>49200(32400+16800)</t>
  </si>
  <si>
    <t>IHSAN SHEHZAD</t>
  </si>
  <si>
    <t>SS-4</t>
  </si>
  <si>
    <t xml:space="preserve"> IZAAN SHAFEEK</t>
  </si>
  <si>
    <t xml:space="preserve">Shyzal Mohammed </t>
  </si>
  <si>
    <t>Ali Shakkir</t>
  </si>
  <si>
    <t>QATAR</t>
  </si>
  <si>
    <t>Liya Sijan James</t>
  </si>
  <si>
    <t>Kuwait</t>
  </si>
  <si>
    <t>10800/-</t>
  </si>
  <si>
    <t>Hanna Sajeesh</t>
  </si>
  <si>
    <t>Kannur</t>
  </si>
  <si>
    <t xml:space="preserve">Arsha Maria Abhilash </t>
  </si>
  <si>
    <t xml:space="preserve"> Qatar</t>
  </si>
  <si>
    <t>7200/-</t>
  </si>
  <si>
    <t>ADHIL NOWSHAD T M</t>
  </si>
  <si>
    <t xml:space="preserve"> sharjah</t>
  </si>
  <si>
    <t xml:space="preserve"> Ashar Abdul Nazar </t>
  </si>
  <si>
    <t>24300/-</t>
  </si>
  <si>
    <t>Alvin Binu</t>
  </si>
  <si>
    <t>UAE</t>
  </si>
  <si>
    <t>77000/-</t>
  </si>
  <si>
    <t xml:space="preserve">Mohammed Ayaan </t>
  </si>
  <si>
    <t>9600/-</t>
  </si>
  <si>
    <t xml:space="preserve">Thejasree  anilkumar </t>
  </si>
  <si>
    <t xml:space="preserve">  Oman </t>
  </si>
  <si>
    <t>72000+36000</t>
  </si>
  <si>
    <t>7500+8000</t>
  </si>
  <si>
    <t>Hindi</t>
  </si>
  <si>
    <t>Muhammed Shihan</t>
  </si>
  <si>
    <t>144000/-</t>
  </si>
  <si>
    <t xml:space="preserve">Muhad  Musthafa </t>
  </si>
  <si>
    <t>29400/-</t>
  </si>
  <si>
    <t>2940/-</t>
  </si>
  <si>
    <t>Rahim</t>
  </si>
  <si>
    <t>113400/-</t>
  </si>
  <si>
    <t>11340/-</t>
  </si>
  <si>
    <t xml:space="preserve">Nida Afsal </t>
  </si>
  <si>
    <t xml:space="preserve">DOHA QATAR </t>
  </si>
  <si>
    <t>108000+27000</t>
  </si>
  <si>
    <t>Sidharth Palathinkal</t>
  </si>
  <si>
    <t>Kerala</t>
  </si>
  <si>
    <t>Laiba Asif</t>
  </si>
  <si>
    <t xml:space="preserve"> Arshia Cinjo </t>
  </si>
  <si>
    <t>34200/-</t>
  </si>
  <si>
    <t>THRISHA S ANIL</t>
  </si>
  <si>
    <t>Muscat</t>
  </si>
  <si>
    <t>Zuha Ashik</t>
  </si>
  <si>
    <t>Doha, Qatar</t>
  </si>
  <si>
    <t>kenzi ashraf</t>
  </si>
  <si>
    <t xml:space="preserve"> Riyadh</t>
  </si>
  <si>
    <t xml:space="preserve">Jessica Elizabeth </t>
  </si>
  <si>
    <t>Kochi</t>
  </si>
  <si>
    <t>KASHMIRA</t>
  </si>
  <si>
    <t>Rayya</t>
  </si>
  <si>
    <t>Qatar</t>
  </si>
  <si>
    <t>Nainika Hareesh</t>
  </si>
  <si>
    <t xml:space="preserve"> Kuwait</t>
  </si>
  <si>
    <t>DONA SOBAN JAMES</t>
  </si>
  <si>
    <t xml:space="preserve">Jewel Maria Correya </t>
  </si>
  <si>
    <t xml:space="preserve"> Kuwait </t>
  </si>
  <si>
    <t>Aysha Jaza Jahafarkhan</t>
  </si>
  <si>
    <t xml:space="preserve"> Saudi Arabia </t>
  </si>
  <si>
    <t xml:space="preserve"> SreeyaSunilraj </t>
  </si>
  <si>
    <t>Abdulla   Mushthakh PN</t>
  </si>
  <si>
    <t xml:space="preserve"> Shahid muhammed</t>
  </si>
  <si>
    <t>Alappuzha</t>
  </si>
  <si>
    <t>Abhinand syamlal</t>
  </si>
  <si>
    <t>SST</t>
  </si>
  <si>
    <t xml:space="preserve">Surya </t>
  </si>
  <si>
    <t>Nazin Afsal</t>
  </si>
  <si>
    <t>Alain</t>
  </si>
  <si>
    <t>Rida</t>
  </si>
  <si>
    <t>Alphonsa Anoop Mary</t>
  </si>
  <si>
    <t>Anlit Jinoy</t>
  </si>
  <si>
    <t>1 MONTH FEE</t>
  </si>
  <si>
    <t>TOTAL</t>
  </si>
  <si>
    <t>Joining date</t>
  </si>
  <si>
    <t>DATE OF JOINING</t>
  </si>
  <si>
    <t>15/009/2026</t>
  </si>
  <si>
    <t>(Scholership)</t>
  </si>
  <si>
    <t>1 MONTH</t>
  </si>
  <si>
    <t>TILL OCT</t>
  </si>
  <si>
    <t>RECEIVED</t>
  </si>
  <si>
    <t>PENDING</t>
  </si>
  <si>
    <t>EXPECTED INCOME TILL OCTOBER</t>
  </si>
  <si>
    <t>Total REV</t>
  </si>
  <si>
    <t>BASED ON 5 MONTH INSTALLEMENT</t>
  </si>
  <si>
    <t>5 MONTH SCHEME</t>
  </si>
  <si>
    <r>
      <rPr>
        <b/>
        <sz val="12"/>
        <color rgb="FFFF0000"/>
        <rFont val="Droid Serif"/>
      </rPr>
      <t>MIN</t>
    </r>
    <r>
      <rPr>
        <b/>
        <sz val="12"/>
        <color theme="1"/>
        <rFont val="Droid Serif"/>
      </rPr>
      <t xml:space="preserve"> - EXPECTED INCOME TILL OCTOBER</t>
    </r>
  </si>
  <si>
    <r>
      <rPr>
        <b/>
        <sz val="12"/>
        <color rgb="FFFF0000"/>
        <rFont val="Droid Serif"/>
      </rPr>
      <t>MAX</t>
    </r>
    <r>
      <rPr>
        <b/>
        <sz val="12"/>
        <color theme="1"/>
        <rFont val="Droid Serif"/>
      </rPr>
      <t xml:space="preserve"> - EXPECTED INCOME TILL OCTOBER</t>
    </r>
  </si>
  <si>
    <t>Maryam mousin</t>
  </si>
  <si>
    <t>kuwait</t>
  </si>
  <si>
    <t>NETHEN</t>
  </si>
  <si>
    <t>KUWAIT</t>
  </si>
  <si>
    <t>JOSIAH</t>
  </si>
  <si>
    <t>AYAAN MOHAMMED</t>
  </si>
  <si>
    <t>BAHRAIN</t>
  </si>
  <si>
    <t>JOSHUA PHILIP JOHN</t>
  </si>
  <si>
    <t>KOTTAYAM</t>
  </si>
  <si>
    <t>Biology-6 (500)</t>
  </si>
  <si>
    <t>SHEHA MAKTOUM</t>
  </si>
  <si>
    <t>MATHS-8</t>
  </si>
  <si>
    <t>Abdulla Musthak</t>
  </si>
  <si>
    <t>ERNAKULAM</t>
  </si>
  <si>
    <t>NIYAL NOUFAL</t>
  </si>
  <si>
    <t>HRITHIK VG</t>
  </si>
  <si>
    <t>AYAAN MUHAMMED</t>
  </si>
  <si>
    <t>TARGET TILL 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</si>
</sst>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4">
    <font>
      <sz val="10"/>
      <color rgb="FF000000"/>
      <name val="Arial"/>
      <scheme val="minor"/>
    </font>
    <font>
      <b/>
      <sz val="10"/>
      <color theme="1"/>
      <name val="Arial"/>
    </font>
    <font>
      <b/>
      <sz val="11"/>
      <color theme="1"/>
      <name val="Droid Serif"/>
    </font>
    <font>
      <b/>
      <sz val="12"/>
      <color theme="1"/>
      <name val="Droid Serif"/>
    </font>
    <font>
      <sz val="10"/>
      <color theme="1"/>
      <name val="Arial"/>
    </font>
    <font>
      <sz val="10"/>
      <name val="Arial"/>
    </font>
    <font>
      <sz val="11"/>
      <color theme="1"/>
      <name val="Arial"/>
    </font>
    <font>
      <sz val="10"/>
      <color theme="1"/>
      <name val="Arial"/>
      <scheme val="minor"/>
    </font>
    <font>
      <b/>
      <sz val="10"/>
      <color rgb="FF000000"/>
      <name val="Arial"/>
      <family val="2"/>
      <scheme val="minor"/>
    </font>
    <font>
      <b/>
      <sz val="10"/>
      <color rgb="FFFF0000"/>
      <name val="Arial"/>
      <family val="2"/>
      <scheme val="minor"/>
    </font>
    <font>
      <sz val="10"/>
      <color rgb="FF000000"/>
      <name val="Arial"/>
      <family val="2"/>
      <scheme val="minor"/>
    </font>
    <font>
      <sz val="11"/>
      <color rgb="FF000000"/>
      <name val="Arial"/>
      <family val="2"/>
      <scheme val="minor"/>
    </font>
    <font>
      <b/>
      <sz val="11"/>
      <color rgb="FF000000"/>
      <name val="Arial"/>
      <family val="2"/>
      <scheme val="minor"/>
    </font>
    <font>
      <b/>
      <sz val="12"/>
      <color rgb="FF000000"/>
      <name val="Arial"/>
      <family val="2"/>
      <scheme val="minor"/>
    </font>
    <font>
      <b/>
      <sz val="12"/>
      <color theme="1"/>
      <name val="Arial"/>
      <family val="2"/>
      <scheme val="minor"/>
    </font>
    <font>
      <b/>
      <sz val="12"/>
      <color rgb="FFFF0000"/>
      <name val="Arial"/>
      <family val="2"/>
      <scheme val="minor"/>
    </font>
    <font>
      <b/>
      <sz val="11"/>
      <color rgb="FFFF0000"/>
      <name val="Arial"/>
      <family val="2"/>
      <scheme val="minor"/>
    </font>
    <font>
      <sz val="12"/>
      <color rgb="FFFF0000"/>
      <name val="Arial"/>
      <family val="2"/>
      <scheme val="minor"/>
    </font>
    <font>
      <sz val="10"/>
      <color rgb="FFFF0000"/>
      <name val="Arial"/>
      <family val="2"/>
    </font>
    <font>
      <b/>
      <sz val="10"/>
      <color rgb="FF00B050"/>
      <name val="Arial"/>
      <family val="2"/>
    </font>
    <font>
      <sz val="10"/>
      <color rgb="FF00B050"/>
      <name val="Arial"/>
      <family val="2"/>
    </font>
    <font>
      <b/>
      <sz val="10"/>
      <color rgb="FF00B050"/>
      <name val="Arial"/>
      <family val="2"/>
      <scheme val="minor"/>
    </font>
    <font>
      <b/>
      <sz val="10"/>
      <color theme="1"/>
      <name val="Arial"/>
      <family val="2"/>
    </font>
    <font>
      <b/>
      <sz val="10"/>
      <color rgb="FFFF0000"/>
      <name val="Arial"/>
      <family val="2"/>
    </font>
    <font>
      <b/>
      <sz val="11"/>
      <color rgb="FF00B050"/>
      <name val="Arial"/>
      <family val="2"/>
      <scheme val="minor"/>
    </font>
    <font>
      <b/>
      <sz val="12"/>
      <color rgb="FFFF0000"/>
      <name val="Calibri"/>
      <family val="2"/>
    </font>
    <font>
      <b/>
      <sz val="12"/>
      <color rgb="FF00B050"/>
      <name val="Calibri"/>
      <family val="2"/>
    </font>
    <font>
      <b/>
      <sz val="11"/>
      <color rgb="FF000000"/>
      <name val="Calibri"/>
      <family val="2"/>
    </font>
    <font>
      <b/>
      <sz val="10"/>
      <color rgb="FFFFFF00"/>
      <name val="Arial"/>
      <family val="2"/>
      <scheme val="minor"/>
    </font>
    <font>
      <b/>
      <sz val="11"/>
      <color rgb="FFFFFF00"/>
      <name val="Arial"/>
      <family val="2"/>
      <scheme val="minor"/>
    </font>
    <font>
      <b/>
      <sz val="12"/>
      <color rgb="FFFF0000"/>
      <name val="Droid Serif"/>
    </font>
    <font>
      <sz val="10"/>
      <color theme="1"/>
      <name val="Arial"/>
      <family val="2"/>
    </font>
    <font>
      <sz val="10"/>
      <name val="Arial"/>
      <family val="2"/>
    </font>
    <font>
      <b/>
      <sz val="12"/>
      <color rgb="FFFFFF00"/>
      <name val="Arial"/>
      <family val="2"/>
      <scheme val="minor"/>
    </font>
  </fonts>
  <fills count="19">
    <fill>
      <patternFill patternType="none"/>
    </fill>
    <fill>
      <patternFill patternType="gray125"/>
    </fill>
    <fill>
      <patternFill patternType="solid">
        <fgColor rgb="FFB6D7A8"/>
        <bgColor rgb="FFB6D7A8"/>
      </patternFill>
    </fill>
    <fill>
      <patternFill patternType="solid">
        <fgColor rgb="FF00FFFF"/>
        <bgColor rgb="FF00FFFF"/>
      </patternFill>
    </fill>
    <fill>
      <patternFill patternType="solid">
        <fgColor rgb="FFFFFFFF"/>
        <bgColor rgb="FFFFFFFF"/>
      </patternFill>
    </fill>
    <fill>
      <patternFill patternType="solid">
        <fgColor rgb="FFFF0000"/>
        <bgColor rgb="FFFF0000"/>
      </patternFill>
    </fill>
    <fill>
      <patternFill patternType="solid">
        <fgColor rgb="FFC9DAF8"/>
        <bgColor rgb="FFC9DAF8"/>
      </patternFill>
    </fill>
    <fill>
      <patternFill patternType="solid">
        <fgColor rgb="FFCFE2F3"/>
        <bgColor rgb="FFCFE2F3"/>
      </patternFill>
    </fill>
    <fill>
      <patternFill patternType="solid">
        <fgColor rgb="FFD0E0E3"/>
        <bgColor rgb="FFD0E0E3"/>
      </patternFill>
    </fill>
    <fill>
      <patternFill patternType="solid">
        <fgColor rgb="FFA4C2F4"/>
        <bgColor rgb="FFA4C2F4"/>
      </patternFill>
    </fill>
    <fill>
      <patternFill patternType="solid">
        <fgColor rgb="FFA2C4C9"/>
        <bgColor rgb="FFA2C4C9"/>
      </patternFill>
    </fill>
    <fill>
      <patternFill patternType="solid">
        <fgColor rgb="FF9FC5E8"/>
        <bgColor rgb="FF9FC5E8"/>
      </patternFill>
    </fill>
    <fill>
      <patternFill patternType="solid">
        <fgColor rgb="FF6D9EEB"/>
        <bgColor rgb="FF6D9EEB"/>
      </patternFill>
    </fill>
    <fill>
      <patternFill patternType="solid">
        <fgColor rgb="FFFFFF00"/>
        <bgColor indexed="64"/>
      </patternFill>
    </fill>
    <fill>
      <patternFill patternType="solid">
        <fgColor rgb="FFFFFF00"/>
        <bgColor rgb="FFFFFFFF"/>
      </patternFill>
    </fill>
    <fill>
      <patternFill patternType="solid">
        <fgColor rgb="FFFF0000"/>
        <bgColor indexed="64"/>
      </patternFill>
    </fill>
    <fill>
      <patternFill patternType="solid">
        <fgColor rgb="FF339966"/>
        <bgColor rgb="FF00FFFF"/>
      </patternFill>
    </fill>
    <fill>
      <patternFill patternType="solid">
        <fgColor rgb="FF00B050"/>
        <bgColor indexed="64"/>
      </patternFill>
    </fill>
    <fill>
      <patternFill patternType="solid">
        <fgColor rgb="FFFF0000"/>
        <bgColor rgb="FFFFFFFF"/>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s>
  <cellStyleXfs count="1">
    <xf numFmtId="0" fontId="0" fillId="0" borderId="0"/>
  </cellStyleXfs>
  <cellXfs count="150">
    <xf numFmtId="0" fontId="0" fillId="0" borderId="0" xfId="0"/>
    <xf numFmtId="0" fontId="4" fillId="0" borderId="1" xfId="0" applyFont="1" applyBorder="1" applyAlignment="1">
      <alignment horizontal="center"/>
    </xf>
    <xf numFmtId="0" fontId="4" fillId="0" borderId="1" xfId="0" applyFont="1" applyBorder="1"/>
    <xf numFmtId="0" fontId="4" fillId="4" borderId="1" xfId="0" applyFont="1" applyFill="1" applyBorder="1" applyAlignment="1">
      <alignment horizontal="center"/>
    </xf>
    <xf numFmtId="0" fontId="4" fillId="0" borderId="0" xfId="0" applyFont="1"/>
    <xf numFmtId="0" fontId="4" fillId="4" borderId="0" xfId="0" applyFont="1" applyFill="1" applyAlignment="1">
      <alignment horizontal="center"/>
    </xf>
    <xf numFmtId="0" fontId="6" fillId="4" borderId="1" xfId="0" applyFont="1" applyFill="1" applyBorder="1" applyAlignment="1">
      <alignment horizontal="center"/>
    </xf>
    <xf numFmtId="3" fontId="4" fillId="0" borderId="1" xfId="0" applyNumberFormat="1" applyFont="1" applyBorder="1" applyAlignment="1">
      <alignment horizontal="center"/>
    </xf>
    <xf numFmtId="0" fontId="4" fillId="9" borderId="0" xfId="0" applyFont="1" applyFill="1" applyAlignment="1">
      <alignment horizontal="center"/>
    </xf>
    <xf numFmtId="0" fontId="7" fillId="4" borderId="0" xfId="0" applyFont="1" applyFill="1"/>
    <xf numFmtId="0" fontId="0" fillId="0" borderId="0" xfId="0" applyAlignment="1">
      <alignment horizontal="center"/>
    </xf>
    <xf numFmtId="0" fontId="8" fillId="0" borderId="0" xfId="0" applyFont="1" applyAlignment="1">
      <alignment horizontal="center"/>
    </xf>
    <xf numFmtId="0" fontId="12" fillId="0" borderId="0" xfId="0" applyFont="1" applyAlignment="1">
      <alignment horizontal="center"/>
    </xf>
    <xf numFmtId="0" fontId="13" fillId="0" borderId="0" xfId="0" applyFont="1"/>
    <xf numFmtId="0" fontId="14" fillId="4" borderId="0" xfId="0" applyFont="1" applyFill="1"/>
    <xf numFmtId="0" fontId="13" fillId="13" borderId="0" xfId="0" applyFont="1" applyFill="1" applyAlignment="1">
      <alignment horizontal="center"/>
    </xf>
    <xf numFmtId="0" fontId="15" fillId="13" borderId="0" xfId="0" applyFont="1" applyFill="1" applyAlignment="1">
      <alignment horizontal="center"/>
    </xf>
    <xf numFmtId="0" fontId="17" fillId="13" borderId="0" xfId="0" applyFont="1" applyFill="1"/>
    <xf numFmtId="0" fontId="17" fillId="14" borderId="0" xfId="0" applyFont="1" applyFill="1"/>
    <xf numFmtId="0" fontId="3" fillId="2" borderId="1" xfId="0" applyFont="1" applyFill="1" applyBorder="1" applyAlignment="1">
      <alignment horizontal="center" vertical="center"/>
    </xf>
    <xf numFmtId="0" fontId="3" fillId="2" borderId="1" xfId="0" applyFont="1" applyFill="1" applyBorder="1" applyAlignment="1">
      <alignment vertical="center"/>
    </xf>
    <xf numFmtId="0" fontId="3" fillId="2" borderId="1" xfId="0" applyFont="1" applyFill="1" applyBorder="1" applyAlignment="1">
      <alignment horizontal="center" vertical="center" wrapText="1"/>
    </xf>
    <xf numFmtId="0" fontId="0" fillId="0" borderId="0" xfId="0" applyAlignment="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4" borderId="1" xfId="0" applyFont="1" applyFill="1" applyBorder="1" applyAlignment="1">
      <alignment horizontal="center" vertical="center"/>
    </xf>
    <xf numFmtId="0" fontId="4" fillId="0" borderId="1" xfId="0" applyFont="1" applyBorder="1" applyAlignment="1">
      <alignment horizontal="center" vertical="center" wrapText="1"/>
    </xf>
    <xf numFmtId="0" fontId="4" fillId="4" borderId="2" xfId="0" applyFont="1" applyFill="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vertical="center"/>
    </xf>
    <xf numFmtId="0" fontId="4" fillId="6" borderId="1" xfId="0" applyFont="1" applyFill="1" applyBorder="1" applyAlignment="1">
      <alignment horizontal="center" vertical="center"/>
    </xf>
    <xf numFmtId="0" fontId="1" fillId="0" borderId="1" xfId="0" applyFont="1" applyBorder="1" applyAlignment="1">
      <alignment horizontal="center" vertical="center"/>
    </xf>
    <xf numFmtId="0" fontId="1" fillId="4"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0" xfId="0" applyFont="1" applyFill="1" applyAlignment="1">
      <alignment horizontal="center" vertical="center"/>
    </xf>
    <xf numFmtId="0" fontId="4" fillId="4" borderId="0" xfId="0" applyFont="1" applyFill="1" applyAlignment="1">
      <alignment horizontal="center" vertical="center"/>
    </xf>
    <xf numFmtId="0" fontId="4" fillId="10"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9"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9"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3" fontId="4" fillId="9" borderId="0" xfId="0" applyNumberFormat="1" applyFont="1" applyFill="1" applyAlignment="1">
      <alignment horizontal="center" vertical="center"/>
    </xf>
    <xf numFmtId="0" fontId="4" fillId="1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15" fillId="13" borderId="0" xfId="0" applyFont="1" applyFill="1" applyAlignment="1">
      <alignment horizontal="center" vertical="center"/>
    </xf>
    <xf numFmtId="0" fontId="15" fillId="13" borderId="0" xfId="0" applyFont="1" applyFill="1"/>
    <xf numFmtId="0" fontId="21" fillId="0" borderId="0" xfId="0" applyFont="1" applyAlignment="1">
      <alignment horizontal="center"/>
    </xf>
    <xf numFmtId="0" fontId="2" fillId="3" borderId="1" xfId="0" applyFont="1" applyFill="1" applyBorder="1" applyAlignment="1">
      <alignment horizontal="center" vertical="center"/>
    </xf>
    <xf numFmtId="0" fontId="4" fillId="4" borderId="0" xfId="0" applyFont="1" applyFill="1" applyAlignment="1">
      <alignment vertical="center"/>
    </xf>
    <xf numFmtId="14" fontId="10" fillId="0" borderId="8" xfId="0" applyNumberFormat="1" applyFont="1" applyBorder="1" applyAlignment="1">
      <alignment horizontal="center" wrapText="1"/>
    </xf>
    <xf numFmtId="0" fontId="10" fillId="0" borderId="9" xfId="0" applyFont="1" applyBorder="1" applyAlignment="1">
      <alignment wrapText="1"/>
    </xf>
    <xf numFmtId="14" fontId="10" fillId="0" borderId="0" xfId="0" applyNumberFormat="1" applyFont="1"/>
    <xf numFmtId="0" fontId="4" fillId="0" borderId="4" xfId="0" applyFont="1" applyBorder="1" applyAlignment="1">
      <alignment horizontal="center" vertical="center"/>
    </xf>
    <xf numFmtId="14" fontId="10" fillId="0" borderId="10" xfId="0" applyNumberFormat="1" applyFont="1" applyBorder="1" applyAlignment="1">
      <alignment vertical="center" wrapText="1"/>
    </xf>
    <xf numFmtId="14" fontId="10" fillId="0" borderId="11" xfId="0" applyNumberFormat="1" applyFont="1" applyBorder="1" applyAlignment="1">
      <alignment vertical="center" wrapText="1"/>
    </xf>
    <xf numFmtId="14" fontId="10" fillId="0" borderId="12" xfId="0" applyNumberFormat="1" applyFont="1" applyBorder="1" applyAlignment="1">
      <alignment vertical="center" wrapText="1"/>
    </xf>
    <xf numFmtId="14" fontId="4" fillId="4" borderId="2" xfId="0" applyNumberFormat="1" applyFont="1" applyFill="1" applyBorder="1" applyAlignment="1">
      <alignment horizontal="center" vertical="center"/>
    </xf>
    <xf numFmtId="0" fontId="4" fillId="0" borderId="5" xfId="0" applyFont="1" applyBorder="1" applyAlignment="1">
      <alignment horizontal="center"/>
    </xf>
    <xf numFmtId="0" fontId="4" fillId="4" borderId="5" xfId="0" applyFont="1" applyFill="1" applyBorder="1" applyAlignment="1">
      <alignment horizontal="center"/>
    </xf>
    <xf numFmtId="0" fontId="4" fillId="0" borderId="7" xfId="0" applyFont="1" applyBorder="1" applyAlignment="1">
      <alignment horizontal="center"/>
    </xf>
    <xf numFmtId="0" fontId="4" fillId="4" borderId="7" xfId="0" applyFont="1" applyFill="1" applyBorder="1" applyAlignment="1">
      <alignment horizontal="center"/>
    </xf>
    <xf numFmtId="0" fontId="2" fillId="3" borderId="2" xfId="0" applyFont="1" applyFill="1" applyBorder="1" applyAlignment="1">
      <alignment horizontal="center" vertical="center" wrapText="1"/>
    </xf>
    <xf numFmtId="14" fontId="10" fillId="0" borderId="13" xfId="0" applyNumberFormat="1" applyFont="1" applyBorder="1" applyAlignment="1">
      <alignment horizontal="center" wrapText="1"/>
    </xf>
    <xf numFmtId="0" fontId="10" fillId="0" borderId="13" xfId="0" applyFont="1" applyBorder="1" applyAlignment="1">
      <alignment horizontal="center" wrapText="1"/>
    </xf>
    <xf numFmtId="164" fontId="13" fillId="13" borderId="0" xfId="0" applyNumberFormat="1" applyFont="1" applyFill="1" applyAlignment="1">
      <alignment horizontal="center"/>
    </xf>
    <xf numFmtId="164" fontId="16" fillId="0" borderId="0" xfId="0" applyNumberFormat="1" applyFont="1" applyAlignment="1">
      <alignment horizontal="center"/>
    </xf>
    <xf numFmtId="0" fontId="23" fillId="0" borderId="1" xfId="0" applyFont="1" applyBorder="1" applyAlignment="1">
      <alignment horizontal="center" vertical="center"/>
    </xf>
    <xf numFmtId="0" fontId="11" fillId="0" borderId="0" xfId="0" applyFont="1" applyAlignment="1">
      <alignment horizontal="center"/>
    </xf>
    <xf numFmtId="164" fontId="24" fillId="0" borderId="0" xfId="0" applyNumberFormat="1" applyFont="1" applyAlignment="1">
      <alignment horizontal="center"/>
    </xf>
    <xf numFmtId="164" fontId="25" fillId="13" borderId="0" xfId="0" applyNumberFormat="1" applyFont="1" applyFill="1" applyAlignment="1">
      <alignment horizontal="center"/>
    </xf>
    <xf numFmtId="164" fontId="25" fillId="0" borderId="0" xfId="0" applyNumberFormat="1" applyFont="1" applyAlignment="1">
      <alignment horizontal="center"/>
    </xf>
    <xf numFmtId="164" fontId="26" fillId="0" borderId="0" xfId="0" applyNumberFormat="1" applyFont="1" applyAlignment="1">
      <alignment horizontal="center"/>
    </xf>
    <xf numFmtId="0" fontId="27" fillId="0" borderId="0" xfId="0" applyFont="1" applyAlignment="1">
      <alignment horizontal="center"/>
    </xf>
    <xf numFmtId="0" fontId="28" fillId="15" borderId="0" xfId="0" applyFont="1" applyFill="1" applyAlignment="1">
      <alignment horizontal="center"/>
    </xf>
    <xf numFmtId="164" fontId="28" fillId="15" borderId="0" xfId="0" applyNumberFormat="1" applyFont="1" applyFill="1" applyAlignment="1">
      <alignment horizontal="center"/>
    </xf>
    <xf numFmtId="0" fontId="2" fillId="16" borderId="1" xfId="0" applyFont="1" applyFill="1" applyBorder="1" applyAlignment="1">
      <alignment horizontal="center" vertical="center" wrapText="1"/>
    </xf>
    <xf numFmtId="0" fontId="9" fillId="0" borderId="0" xfId="0" applyFont="1"/>
    <xf numFmtId="164" fontId="12" fillId="0" borderId="0" xfId="0" applyNumberFormat="1" applyFont="1" applyAlignment="1">
      <alignment horizontal="center"/>
    </xf>
    <xf numFmtId="164" fontId="15" fillId="13" borderId="0" xfId="0" applyNumberFormat="1" applyFont="1" applyFill="1" applyAlignment="1">
      <alignment horizontal="center" vertical="center"/>
    </xf>
    <xf numFmtId="0" fontId="29" fillId="15" borderId="0" xfId="0" applyFont="1" applyFill="1" applyAlignment="1">
      <alignment horizontal="center"/>
    </xf>
    <xf numFmtId="164" fontId="29" fillId="15" borderId="0" xfId="0" applyNumberFormat="1" applyFont="1" applyFill="1" applyAlignment="1">
      <alignment horizontal="center"/>
    </xf>
    <xf numFmtId="0" fontId="18" fillId="0" borderId="0" xfId="0" applyFont="1" applyAlignment="1">
      <alignment vertical="center"/>
    </xf>
    <xf numFmtId="0" fontId="3" fillId="2" borderId="7"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xf>
    <xf numFmtId="0" fontId="5" fillId="0" borderId="3" xfId="0" applyFont="1" applyBorder="1" applyAlignment="1">
      <alignment horizontal="center" vertical="center"/>
    </xf>
    <xf numFmtId="0" fontId="4" fillId="17" borderId="1" xfId="0" applyFont="1" applyFill="1" applyBorder="1" applyAlignment="1">
      <alignment horizontal="center" vertical="center"/>
    </xf>
    <xf numFmtId="0" fontId="31" fillId="0" borderId="1" xfId="0" applyFont="1" applyBorder="1" applyAlignment="1">
      <alignment horizontal="center" vertical="center"/>
    </xf>
    <xf numFmtId="0" fontId="4" fillId="0" borderId="2" xfId="0" applyFont="1" applyBorder="1" applyAlignment="1">
      <alignment horizontal="center" vertical="center"/>
    </xf>
    <xf numFmtId="0" fontId="5" fillId="0" borderId="4" xfId="0" applyFont="1" applyBorder="1" applyAlignment="1">
      <alignment vertical="center"/>
    </xf>
    <xf numFmtId="0" fontId="31" fillId="0" borderId="2" xfId="0" applyFont="1" applyBorder="1" applyAlignment="1">
      <alignment horizontal="center" vertical="center"/>
    </xf>
    <xf numFmtId="0" fontId="4" fillId="4" borderId="2" xfId="0" applyFont="1" applyFill="1" applyBorder="1" applyAlignment="1">
      <alignment horizontal="center" vertical="center"/>
    </xf>
    <xf numFmtId="14" fontId="10" fillId="0" borderId="10" xfId="0" applyNumberFormat="1" applyFont="1" applyBorder="1" applyAlignment="1">
      <alignment horizontal="center" vertical="center" wrapText="1"/>
    </xf>
    <xf numFmtId="14" fontId="10" fillId="0" borderId="12" xfId="0" applyNumberFormat="1" applyFont="1" applyBorder="1" applyAlignment="1">
      <alignment horizontal="center" vertical="center" wrapText="1"/>
    </xf>
    <xf numFmtId="3" fontId="4" fillId="0" borderId="2" xfId="0" applyNumberFormat="1" applyFont="1" applyBorder="1" applyAlignment="1">
      <alignment horizontal="center" vertical="center"/>
    </xf>
    <xf numFmtId="0" fontId="1" fillId="15" borderId="2" xfId="0" applyFont="1" applyFill="1" applyBorder="1" applyAlignment="1">
      <alignment horizontal="center" vertical="center"/>
    </xf>
    <xf numFmtId="0" fontId="5" fillId="15" borderId="3" xfId="0" applyFont="1" applyFill="1" applyBorder="1" applyAlignment="1">
      <alignment vertical="center"/>
    </xf>
    <xf numFmtId="0" fontId="5" fillId="15" borderId="4" xfId="0" applyFont="1" applyFill="1" applyBorder="1" applyAlignment="1">
      <alignment vertical="center"/>
    </xf>
    <xf numFmtId="0" fontId="5" fillId="0" borderId="3" xfId="0" applyFont="1" applyBorder="1" applyAlignment="1">
      <alignment vertical="center"/>
    </xf>
    <xf numFmtId="0" fontId="4" fillId="0" borderId="2" xfId="0" applyFont="1" applyBorder="1" applyAlignment="1">
      <alignment horizontal="center" vertical="center" wrapText="1"/>
    </xf>
    <xf numFmtId="0" fontId="18" fillId="0" borderId="2" xfId="0" applyFont="1" applyBorder="1" applyAlignment="1">
      <alignment horizontal="center" vertical="center"/>
    </xf>
    <xf numFmtId="0" fontId="18" fillId="0" borderId="3" xfId="0" applyFont="1" applyBorder="1" applyAlignment="1">
      <alignment vertical="center"/>
    </xf>
    <xf numFmtId="0" fontId="18" fillId="0" borderId="4" xfId="0" applyFont="1" applyBorder="1" applyAlignment="1">
      <alignment vertical="center"/>
    </xf>
    <xf numFmtId="0" fontId="4" fillId="6" borderId="5" xfId="0" applyFont="1" applyFill="1" applyBorder="1" applyAlignment="1">
      <alignment horizontal="center" vertical="center"/>
    </xf>
    <xf numFmtId="0" fontId="5" fillId="0" borderId="6" xfId="0" applyFont="1" applyBorder="1" applyAlignment="1">
      <alignment vertical="center"/>
    </xf>
    <xf numFmtId="0" fontId="5" fillId="0" borderId="7" xfId="0" applyFont="1" applyBorder="1" applyAlignment="1">
      <alignment vertical="center"/>
    </xf>
    <xf numFmtId="0" fontId="1" fillId="0" borderId="2" xfId="0" applyFont="1" applyBorder="1" applyAlignment="1">
      <alignment horizontal="center" vertical="center"/>
    </xf>
    <xf numFmtId="0" fontId="19" fillId="4" borderId="2" xfId="0" applyFont="1" applyFill="1" applyBorder="1" applyAlignment="1">
      <alignment horizontal="center" vertical="center"/>
    </xf>
    <xf numFmtId="0" fontId="20" fillId="0" borderId="3" xfId="0" applyFont="1" applyBorder="1" applyAlignment="1">
      <alignment vertical="center"/>
    </xf>
    <xf numFmtId="0" fontId="20" fillId="0" borderId="4" xfId="0" applyFont="1" applyBorder="1" applyAlignment="1">
      <alignment vertical="center"/>
    </xf>
    <xf numFmtId="0" fontId="4" fillId="7" borderId="5" xfId="0" applyFont="1" applyFill="1" applyBorder="1" applyAlignment="1">
      <alignment horizontal="center" vertical="center"/>
    </xf>
    <xf numFmtId="0" fontId="1" fillId="18" borderId="2" xfId="0" applyFont="1" applyFill="1" applyBorder="1" applyAlignment="1">
      <alignment horizontal="center" vertical="center"/>
    </xf>
    <xf numFmtId="0" fontId="4" fillId="8" borderId="5" xfId="0" applyFont="1" applyFill="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5" borderId="2" xfId="0" applyFont="1" applyFill="1" applyBorder="1" applyAlignment="1">
      <alignment horizontal="center" vertical="center"/>
    </xf>
    <xf numFmtId="0" fontId="2" fillId="2" borderId="1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0" borderId="13" xfId="0" applyFont="1" applyBorder="1" applyAlignment="1">
      <alignment horizontal="center"/>
    </xf>
    <xf numFmtId="0" fontId="4" fillId="4" borderId="13" xfId="0" applyFont="1" applyFill="1" applyBorder="1" applyAlignment="1">
      <alignment horizontal="center"/>
    </xf>
    <xf numFmtId="0" fontId="22" fillId="0" borderId="13" xfId="0" applyFont="1" applyBorder="1" applyAlignment="1">
      <alignment horizontal="center"/>
    </xf>
    <xf numFmtId="0" fontId="4" fillId="4" borderId="6" xfId="0" applyFont="1" applyFill="1" applyBorder="1" applyAlignment="1">
      <alignment horizontal="center"/>
    </xf>
    <xf numFmtId="0" fontId="4" fillId="4" borderId="15" xfId="0" applyFont="1" applyFill="1" applyBorder="1" applyAlignment="1">
      <alignment horizontal="center"/>
    </xf>
    <xf numFmtId="0" fontId="4" fillId="4" borderId="16" xfId="0" applyFont="1" applyFill="1" applyBorder="1" applyAlignment="1">
      <alignment horizontal="center"/>
    </xf>
    <xf numFmtId="0" fontId="2" fillId="3" borderId="2" xfId="0" applyFont="1" applyFill="1" applyBorder="1" applyAlignment="1">
      <alignment horizontal="center" vertical="center"/>
    </xf>
    <xf numFmtId="0" fontId="0" fillId="0" borderId="13" xfId="0" applyBorder="1" applyAlignment="1">
      <alignment horizontal="center"/>
    </xf>
    <xf numFmtId="0" fontId="1" fillId="3" borderId="1" xfId="0" applyFont="1" applyFill="1" applyBorder="1" applyAlignment="1">
      <alignment horizontal="center" vertical="center"/>
    </xf>
    <xf numFmtId="0" fontId="4" fillId="0" borderId="0" xfId="0" applyFont="1" applyBorder="1" applyAlignment="1">
      <alignment horizontal="center" vertical="center"/>
    </xf>
    <xf numFmtId="0" fontId="32" fillId="0" borderId="3"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14" fontId="4" fillId="0" borderId="13" xfId="0" applyNumberFormat="1" applyFont="1" applyBorder="1" applyAlignment="1">
      <alignment horizontal="center" vertical="center"/>
    </xf>
    <xf numFmtId="0" fontId="4" fillId="0" borderId="2" xfId="0" applyFont="1" applyFill="1" applyBorder="1" applyAlignment="1">
      <alignment horizontal="center" vertical="center"/>
    </xf>
    <xf numFmtId="0" fontId="5" fillId="0" borderId="4" xfId="0" applyFont="1" applyFill="1" applyBorder="1" applyAlignment="1">
      <alignment vertical="center"/>
    </xf>
    <xf numFmtId="0" fontId="31" fillId="4" borderId="7" xfId="0" applyFont="1" applyFill="1" applyBorder="1" applyAlignment="1">
      <alignment horizontal="center"/>
    </xf>
    <xf numFmtId="0" fontId="5" fillId="0" borderId="0" xfId="0" applyFont="1" applyBorder="1" applyAlignment="1">
      <alignment vertical="center"/>
    </xf>
    <xf numFmtId="14" fontId="10" fillId="0" borderId="0" xfId="0" applyNumberFormat="1" applyFont="1" applyBorder="1" applyAlignment="1">
      <alignment horizontal="center" vertical="center" wrapText="1"/>
    </xf>
    <xf numFmtId="0" fontId="4" fillId="4" borderId="0" xfId="0" applyFont="1" applyFill="1" applyBorder="1" applyAlignment="1">
      <alignment horizontal="center" vertical="center"/>
    </xf>
    <xf numFmtId="0" fontId="33" fillId="15" borderId="0" xfId="0" applyFont="1" applyFill="1" applyAlignment="1">
      <alignment horizontal="center"/>
    </xf>
    <xf numFmtId="164" fontId="33" fillId="15" borderId="0" xfId="0" applyNumberFormat="1" applyFont="1" applyFill="1" applyAlignment="1">
      <alignment horizontal="center"/>
    </xf>
    <xf numFmtId="0" fontId="9"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persons/person.xml><?xml version="1.0" encoding="utf-8"?>
<x18tc:personList xmlns:x18tc="http://schemas.microsoft.com/office/spreadsheetml/2018/threadedcomments">
  <x18tc:person displayName="Academiccoordinator1SUO" id="{47c3c84d-850e-4dd0-aab7-ca8ab13192f5}"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6" dT="2026-10-08T11:49:44.00" personId="{47c3c84d-850e-4dd0-aab7-ca8ab13192f5}" id="{e766ba23-d1b1-4b1c-848d-b669c2960968}" done="0">
    <x18tc:text xml:space="preserve">Biology dropped</x18tc:text>
  </x18tc:threadedComment>
  <x18tc:threadedComment ref="I44" dT="2026-10-08T11:53:17.00" personId="{47c3c84d-850e-4dd0-aab7-ca8ab13192f5}" id="{bdbea5a3-6111-45b2-bd09-2709ad79bf3b}" done="0">
    <x18tc:text xml:space="preserve">36000  for maths and hindi,joined date 2/10/2026</x18tc:text>
  </x18tc:threadedComment>
  <x18tc:threadedComment ref="I62" dT="2026-10-08T11:53:59.00" personId="{47c3c84d-850e-4dd0-aab7-ca8ab13192f5}" id="{c2ee1205-79db-452e-91aa-7c8a2e84f11c}" done="0">
    <x18tc:text xml:space="preserve">27k for biology-joined date 2/10/2026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6-10-08T11:58:37.00" personId="{47c3c84d-850e-4dd0-aab7-ca8ab13192f5}" id="{3c39eb4f-0480-40f2-9018-e14fdc2081eb}" done="0">
    <x18tc:text xml:space="preserve">Physics dropped(1/10/2026)</x18tc:text>
  </x18tc:threadedComment>
  <x18tc:threadedComment ref="D5" dT="2026-10-08T11:59:02.00" personId="{47c3c84d-850e-4dd0-aab7-ca8ab13192f5}" id="{1a7ffd4b-4aab-4323-9532-895828b8e8d2}" done="0">
    <x18tc:text xml:space="preserve">Physics dropped 1/9/2026)</x18tc:text>
  </x18tc:threadedComment>
  <x18tc:threadedComment ref="B17" dT="2026-10-08T11:59:28.00" personId="{47c3c84d-850e-4dd0-aab7-ca8ab13192f5}" id="{16c4ac67-0aec-4090-bebd-ddc6184daa11}" done="0">
    <x18tc:text xml:space="preserve">taking a break</x18tc:text>
  </x18tc:threadedComment>
  <x18tc:threadedComment ref="G32" dT="2026-10-09T10:03:54.00" personId="{47c3c84d-850e-4dd0-aab7-ca8ab13192f5}" id="{f5180599-a573-48f7-bb43-e3fff8e7552c}" done="0">
    <x18tc:text xml:space="preserve">Science+SS 1:1</x18tc:text>
  </x18tc:threadedComment>
</x18tc:ThreadedComments>
</file>

<file path=xl/worksheets/_rels/sheet1.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18"/>
  <sheetViews>
    <sheetView zoomScale="82" workbookViewId="0">
      <pane ySplit="1" topLeftCell="A88" activePane="bottomLeft" state="frozen"/>
      <selection pane="bottomLeft" activeCell="R1" sqref="R1"/>
    </sheetView>
  </sheetViews>
  <sheetFormatPr defaultColWidth="12.6640625" defaultRowHeight="15.75" customHeight="1"/>
  <cols>
    <col min="2" max="2" width="23.6640625" bestFit="1" customWidth="1"/>
    <col min="4" max="4" width="11.77734375" customWidth="1"/>
    <col min="8" max="8" width="12.77734375" customWidth="1"/>
    <col min="9" max="9" width="14.21875" customWidth="1"/>
    <col min="10" max="10" width="10.33203125" customWidth="1"/>
    <col min="11" max="11" width="11.33203125" customWidth="1"/>
    <col min="12" max="12" width="11.109375" customWidth="1"/>
    <col min="13" max="14" width="11.21875" customWidth="1"/>
    <col min="15" max="15" width="14.88671875" style="11" bestFit="1" customWidth="1"/>
    <col min="16" max="16" width="15.21875" style="11" customWidth="1"/>
    <col min="17" max="17" width="13.33203125" style="10" bestFit="1" customWidth="1"/>
    <col min="19" max="19" width="12.6640625" style="11"/>
  </cols>
  <sheetData>
    <row r="1" spans="1:19" s="22" customFormat="1" ht="44.4" customHeight="1" thickBot="1">
      <c r="A1" s="19" t="s">
        <v>2</v>
      </c>
      <c r="B1" s="20" t="s">
        <v>6</v>
      </c>
      <c r="C1" s="19" t="s">
        <v>9</v>
      </c>
      <c r="D1" s="21" t="s">
        <v>14</v>
      </c>
      <c r="E1" s="19" t="s">
        <v>8</v>
      </c>
      <c r="F1" s="19" t="s">
        <v>202</v>
      </c>
      <c r="G1" s="19" t="s">
        <v>10</v>
      </c>
      <c r="H1" s="21" t="s">
        <v>17</v>
      </c>
      <c r="I1" s="21" t="s">
        <v>12</v>
      </c>
      <c r="J1" s="21" t="s">
        <v>7</v>
      </c>
      <c r="K1" s="21" t="s">
        <v>19</v>
      </c>
      <c r="L1" s="21" t="s">
        <v>20</v>
      </c>
      <c r="N1" s="89" t="s">
        <v>211</v>
      </c>
      <c r="O1" s="88" t="s">
        <v>200</v>
      </c>
      <c r="P1" s="21" t="s">
        <v>210</v>
      </c>
      <c r="Q1" s="21" t="s">
        <v>20</v>
      </c>
      <c r="R1" s="21"/>
      <c r="S1" s="149" t="s">
        <v>233</v>
      </c>
    </row>
    <row r="2" spans="1:19" ht="13.8" thickBot="1">
      <c r="A2" s="23">
        <v>1</v>
      </c>
      <c r="B2" s="102" t="s">
        <v>22</v>
      </c>
      <c r="C2" s="95" t="s">
        <v>24</v>
      </c>
      <c r="D2" s="106">
        <v>18</v>
      </c>
      <c r="E2" s="25">
        <v>11</v>
      </c>
      <c r="F2" s="55">
        <v>46141</v>
      </c>
      <c r="G2" s="23" t="s">
        <v>31</v>
      </c>
      <c r="H2" s="23">
        <v>6</v>
      </c>
      <c r="I2" s="26">
        <v>850</v>
      </c>
      <c r="J2" s="107">
        <v>158400</v>
      </c>
      <c r="K2" s="95" t="s">
        <v>37</v>
      </c>
      <c r="L2" s="98">
        <v>17000</v>
      </c>
      <c r="N2" s="87"/>
      <c r="O2" s="11" cm="1">
        <f t="array" ref="O2">SUM(H2:H4*I2)</f>
        <v>17000</v>
      </c>
      <c r="P2" s="11">
        <f>SUM(O2*1)</f>
        <v>17000</v>
      </c>
      <c r="Q2" s="10">
        <f>SUM(L2)</f>
        <v>17000</v>
      </c>
      <c r="S2" s="11">
        <f>SUM(P2-Q2)</f>
        <v>0</v>
      </c>
    </row>
    <row r="3" spans="1:19" ht="13.8" thickBot="1">
      <c r="A3" s="23"/>
      <c r="B3" s="103"/>
      <c r="C3" s="105"/>
      <c r="D3" s="105"/>
      <c r="E3" s="25"/>
      <c r="F3" s="56"/>
      <c r="G3" s="23" t="s">
        <v>42</v>
      </c>
      <c r="H3" s="23">
        <v>6</v>
      </c>
      <c r="I3" s="26">
        <v>850</v>
      </c>
      <c r="J3" s="108"/>
      <c r="K3" s="105"/>
      <c r="L3" s="105"/>
      <c r="N3" s="87"/>
    </row>
    <row r="4" spans="1:19" ht="13.8" thickBot="1">
      <c r="A4" s="23"/>
      <c r="B4" s="104"/>
      <c r="C4" s="96"/>
      <c r="D4" s="96"/>
      <c r="E4" s="25"/>
      <c r="F4" s="56"/>
      <c r="G4" s="23" t="s">
        <v>28</v>
      </c>
      <c r="H4" s="23">
        <v>8</v>
      </c>
      <c r="I4" s="26">
        <v>850</v>
      </c>
      <c r="J4" s="109"/>
      <c r="K4" s="96"/>
      <c r="L4" s="96"/>
      <c r="N4" s="87"/>
    </row>
    <row r="5" spans="1:19" ht="13.8" thickBot="1">
      <c r="A5" s="110"/>
      <c r="B5" s="111"/>
      <c r="C5" s="111"/>
      <c r="D5" s="111"/>
      <c r="E5" s="111"/>
      <c r="F5" s="111"/>
      <c r="G5" s="111"/>
      <c r="H5" s="111"/>
      <c r="I5" s="111"/>
      <c r="J5" s="111"/>
      <c r="K5" s="111"/>
      <c r="L5" s="112"/>
    </row>
    <row r="6" spans="1:19" ht="13.8" thickBot="1">
      <c r="A6" s="23">
        <v>2</v>
      </c>
      <c r="B6" s="113" t="s">
        <v>51</v>
      </c>
      <c r="C6" s="95" t="s">
        <v>53</v>
      </c>
      <c r="D6" s="106">
        <v>18</v>
      </c>
      <c r="E6" s="25">
        <v>10</v>
      </c>
      <c r="F6" s="55">
        <v>46148</v>
      </c>
      <c r="G6" s="23" t="s">
        <v>28</v>
      </c>
      <c r="H6" s="23">
        <v>6</v>
      </c>
      <c r="I6" s="26">
        <v>900</v>
      </c>
      <c r="J6" s="95">
        <v>144000</v>
      </c>
      <c r="K6" s="113" t="s">
        <v>63</v>
      </c>
      <c r="L6" s="114">
        <v>43740</v>
      </c>
      <c r="O6" s="11" cm="1">
        <f t="array" ref="O6">SUM(H6:H9*I6)</f>
        <v>16200</v>
      </c>
      <c r="P6" s="11">
        <f>SUM(O6*6)</f>
        <v>97200</v>
      </c>
      <c r="Q6" s="10">
        <f t="shared" ref="Q6:Q66" si="0">SUM(L6)</f>
        <v>43740</v>
      </c>
      <c r="S6" s="11">
        <f t="shared" ref="S6:S66" si="1">SUM(P6-Q6)</f>
        <v>53460</v>
      </c>
    </row>
    <row r="7" spans="1:19" ht="13.8" thickBot="1">
      <c r="A7" s="23"/>
      <c r="B7" s="105"/>
      <c r="C7" s="105"/>
      <c r="D7" s="105"/>
      <c r="E7" s="25"/>
      <c r="F7" s="56"/>
      <c r="G7" s="23" t="s">
        <v>42</v>
      </c>
      <c r="H7" s="23">
        <v>4</v>
      </c>
      <c r="I7" s="26">
        <v>900</v>
      </c>
      <c r="J7" s="105"/>
      <c r="K7" s="105"/>
      <c r="L7" s="115"/>
    </row>
    <row r="8" spans="1:19" ht="13.8" thickBot="1">
      <c r="A8" s="23"/>
      <c r="B8" s="105"/>
      <c r="C8" s="105"/>
      <c r="D8" s="105"/>
      <c r="E8" s="25"/>
      <c r="F8" s="56"/>
      <c r="G8" s="23" t="s">
        <v>76</v>
      </c>
      <c r="H8" s="23">
        <v>4</v>
      </c>
      <c r="I8" s="26">
        <v>900</v>
      </c>
      <c r="J8" s="105"/>
      <c r="K8" s="105"/>
      <c r="L8" s="115"/>
    </row>
    <row r="9" spans="1:19" ht="13.8" thickBot="1">
      <c r="A9" s="23"/>
      <c r="B9" s="96"/>
      <c r="C9" s="96"/>
      <c r="D9" s="96"/>
      <c r="E9" s="25"/>
      <c r="F9" s="56"/>
      <c r="G9" s="23" t="s">
        <v>31</v>
      </c>
      <c r="H9" s="23">
        <v>4</v>
      </c>
      <c r="I9" s="26">
        <v>900</v>
      </c>
      <c r="J9" s="96"/>
      <c r="K9" s="96"/>
      <c r="L9" s="116"/>
    </row>
    <row r="10" spans="1:19" ht="13.2">
      <c r="A10" s="30"/>
      <c r="B10" s="110"/>
      <c r="C10" s="111"/>
      <c r="D10" s="111"/>
      <c r="E10" s="111"/>
      <c r="F10" s="111"/>
      <c r="G10" s="111"/>
      <c r="H10" s="111"/>
      <c r="I10" s="111"/>
      <c r="J10" s="111"/>
      <c r="K10" s="111"/>
      <c r="L10" s="112"/>
    </row>
    <row r="11" spans="1:19" ht="13.2">
      <c r="A11" s="23">
        <v>3</v>
      </c>
      <c r="B11" s="31" t="s">
        <v>87</v>
      </c>
      <c r="C11" s="23" t="s">
        <v>24</v>
      </c>
      <c r="D11" s="23">
        <v>8</v>
      </c>
      <c r="E11" s="25">
        <v>12</v>
      </c>
      <c r="F11" s="57">
        <v>46150</v>
      </c>
      <c r="G11" s="23" t="s">
        <v>92</v>
      </c>
      <c r="H11" s="23">
        <v>8</v>
      </c>
      <c r="I11" s="23">
        <v>900</v>
      </c>
      <c r="J11" s="72">
        <v>72000</v>
      </c>
      <c r="K11" s="23" t="s">
        <v>94</v>
      </c>
      <c r="L11" s="32">
        <v>21300</v>
      </c>
      <c r="O11" s="11">
        <f>SUM(H11*I11)</f>
        <v>7200</v>
      </c>
      <c r="P11" s="11">
        <f>SUM(O11*6)</f>
        <v>43200</v>
      </c>
      <c r="Q11" s="10">
        <f t="shared" si="0"/>
        <v>21300</v>
      </c>
      <c r="S11" s="11">
        <f t="shared" si="1"/>
        <v>21900</v>
      </c>
    </row>
    <row r="12" spans="1:19" ht="13.2">
      <c r="A12" s="30"/>
      <c r="B12" s="30"/>
      <c r="C12" s="30"/>
      <c r="D12" s="30"/>
      <c r="E12" s="25"/>
      <c r="F12" s="25"/>
      <c r="G12" s="30"/>
      <c r="H12" s="30"/>
      <c r="I12" s="30"/>
      <c r="J12" s="30"/>
      <c r="K12" s="30"/>
      <c r="L12" s="30"/>
    </row>
    <row r="13" spans="1:19" ht="13.2">
      <c r="A13" s="23">
        <v>4</v>
      </c>
      <c r="B13" s="113" t="s">
        <v>98</v>
      </c>
      <c r="C13" s="95" t="s">
        <v>100</v>
      </c>
      <c r="D13" s="95">
        <v>12</v>
      </c>
      <c r="E13" s="25">
        <v>11</v>
      </c>
      <c r="F13" s="57">
        <v>46165</v>
      </c>
      <c r="G13" s="23" t="s">
        <v>92</v>
      </c>
      <c r="H13" s="23">
        <v>6</v>
      </c>
      <c r="I13" s="23">
        <v>900</v>
      </c>
      <c r="J13" s="95">
        <v>108000</v>
      </c>
      <c r="K13" s="95" t="s">
        <v>106</v>
      </c>
      <c r="L13" s="98">
        <v>10800</v>
      </c>
      <c r="O13" s="11" cm="1">
        <f t="array" ref="O13">SUM(H13:H14*I13)</f>
        <v>10800</v>
      </c>
      <c r="P13" s="11">
        <f>SUM(O13*5)</f>
        <v>54000</v>
      </c>
      <c r="Q13" s="10">
        <f t="shared" si="0"/>
        <v>10800</v>
      </c>
      <c r="S13" s="11">
        <f t="shared" si="1"/>
        <v>43200</v>
      </c>
    </row>
    <row r="14" spans="1:19" ht="13.2">
      <c r="A14" s="23"/>
      <c r="B14" s="96"/>
      <c r="C14" s="96"/>
      <c r="D14" s="96"/>
      <c r="E14" s="25"/>
      <c r="F14" s="25"/>
      <c r="G14" s="23" t="s">
        <v>112</v>
      </c>
      <c r="H14" s="23">
        <v>6</v>
      </c>
      <c r="I14" s="23">
        <v>900</v>
      </c>
      <c r="J14" s="96"/>
      <c r="K14" s="96"/>
      <c r="L14" s="96"/>
    </row>
    <row r="15" spans="1:19" ht="13.2">
      <c r="A15" s="33"/>
      <c r="B15" s="117"/>
      <c r="C15" s="111"/>
      <c r="D15" s="111"/>
      <c r="E15" s="111"/>
      <c r="F15" s="111"/>
      <c r="G15" s="111"/>
      <c r="H15" s="111"/>
      <c r="I15" s="111"/>
      <c r="J15" s="111"/>
      <c r="K15" s="111"/>
      <c r="L15" s="112"/>
    </row>
    <row r="16" spans="1:19" ht="13.2">
      <c r="A16" s="23">
        <v>5</v>
      </c>
      <c r="B16" s="113" t="s">
        <v>118</v>
      </c>
      <c r="C16" s="95" t="s">
        <v>122</v>
      </c>
      <c r="D16" s="95">
        <v>12</v>
      </c>
      <c r="E16" s="25">
        <v>11</v>
      </c>
      <c r="F16" s="57">
        <v>46167</v>
      </c>
      <c r="G16" s="34" t="s">
        <v>76</v>
      </c>
      <c r="H16" s="34">
        <v>6</v>
      </c>
      <c r="I16" s="23">
        <v>1000</v>
      </c>
      <c r="J16" s="95">
        <v>120000</v>
      </c>
      <c r="K16" s="95" t="s">
        <v>63</v>
      </c>
      <c r="L16" s="98">
        <v>25000</v>
      </c>
      <c r="O16" s="11" cm="1">
        <f t="array" ref="O16">SUM(H16:H17*I16)</f>
        <v>12000</v>
      </c>
      <c r="P16" s="11">
        <f>SUM(O16*5)</f>
        <v>60000</v>
      </c>
      <c r="Q16" s="10">
        <f t="shared" si="0"/>
        <v>25000</v>
      </c>
      <c r="S16" s="11">
        <f t="shared" si="1"/>
        <v>35000</v>
      </c>
    </row>
    <row r="17" spans="1:19" ht="13.2">
      <c r="A17" s="23"/>
      <c r="B17" s="96"/>
      <c r="C17" s="96"/>
      <c r="D17" s="96"/>
      <c r="E17" s="25"/>
      <c r="F17" s="25"/>
      <c r="G17" s="23" t="s">
        <v>42</v>
      </c>
      <c r="H17" s="23">
        <v>6</v>
      </c>
      <c r="I17" s="23"/>
      <c r="J17" s="96"/>
      <c r="K17" s="96"/>
      <c r="L17" s="96"/>
    </row>
    <row r="18" spans="1:19" ht="13.2">
      <c r="A18" s="33"/>
      <c r="B18" s="117"/>
      <c r="C18" s="111"/>
      <c r="D18" s="111"/>
      <c r="E18" s="111"/>
      <c r="F18" s="111"/>
      <c r="G18" s="111"/>
      <c r="H18" s="111"/>
      <c r="I18" s="111"/>
      <c r="J18" s="111"/>
      <c r="K18" s="111"/>
      <c r="L18" s="112"/>
    </row>
    <row r="19" spans="1:19" ht="13.2">
      <c r="A19" s="23">
        <v>6</v>
      </c>
      <c r="B19" s="118" t="s">
        <v>130</v>
      </c>
      <c r="C19" s="95" t="s">
        <v>131</v>
      </c>
      <c r="D19" s="106">
        <v>18</v>
      </c>
      <c r="E19" s="25">
        <v>11</v>
      </c>
      <c r="F19" s="57">
        <v>46169</v>
      </c>
      <c r="G19" s="23" t="s">
        <v>42</v>
      </c>
      <c r="H19" s="23">
        <v>6</v>
      </c>
      <c r="I19" s="26">
        <v>850</v>
      </c>
      <c r="J19" s="95">
        <v>153000</v>
      </c>
      <c r="K19" s="95" t="s">
        <v>63</v>
      </c>
      <c r="L19" s="98">
        <v>15300</v>
      </c>
      <c r="O19" s="11" cm="1">
        <f t="array" ref="O19">SUM(H19:H21*I19)</f>
        <v>15300</v>
      </c>
      <c r="P19" s="11">
        <f>SUM(O19*1)</f>
        <v>15300</v>
      </c>
      <c r="Q19" s="10">
        <f t="shared" si="0"/>
        <v>15300</v>
      </c>
      <c r="S19" s="11">
        <f t="shared" si="1"/>
        <v>0</v>
      </c>
    </row>
    <row r="20" spans="1:19" ht="13.2">
      <c r="A20" s="23"/>
      <c r="B20" s="103"/>
      <c r="C20" s="105"/>
      <c r="D20" s="105"/>
      <c r="E20" s="25"/>
      <c r="F20" s="25"/>
      <c r="G20" s="23" t="s">
        <v>28</v>
      </c>
      <c r="H20" s="23">
        <v>6</v>
      </c>
      <c r="I20" s="26">
        <v>850</v>
      </c>
      <c r="J20" s="105"/>
      <c r="K20" s="105"/>
      <c r="L20" s="105"/>
    </row>
    <row r="21" spans="1:19" ht="13.2">
      <c r="A21" s="23"/>
      <c r="B21" s="104"/>
      <c r="C21" s="96"/>
      <c r="D21" s="96"/>
      <c r="E21" s="25"/>
      <c r="F21" s="25"/>
      <c r="G21" s="23" t="s">
        <v>31</v>
      </c>
      <c r="H21" s="23">
        <v>6</v>
      </c>
      <c r="I21" s="26">
        <v>850</v>
      </c>
      <c r="J21" s="96"/>
      <c r="K21" s="96"/>
      <c r="L21" s="96"/>
    </row>
    <row r="22" spans="1:19" ht="13.2">
      <c r="A22" s="30"/>
      <c r="B22" s="110"/>
      <c r="C22" s="111"/>
      <c r="D22" s="111"/>
      <c r="E22" s="111"/>
      <c r="F22" s="111"/>
      <c r="G22" s="111"/>
      <c r="H22" s="111"/>
      <c r="I22" s="111"/>
      <c r="J22" s="111"/>
      <c r="K22" s="111"/>
      <c r="L22" s="112"/>
    </row>
    <row r="23" spans="1:19" ht="13.2">
      <c r="A23" s="95">
        <v>7</v>
      </c>
      <c r="B23" s="113" t="s">
        <v>132</v>
      </c>
      <c r="C23" s="95" t="s">
        <v>133</v>
      </c>
      <c r="D23" s="95">
        <v>12</v>
      </c>
      <c r="E23" s="25">
        <v>12</v>
      </c>
      <c r="F23" s="57">
        <v>46183</v>
      </c>
      <c r="G23" s="23" t="s">
        <v>42</v>
      </c>
      <c r="H23" s="23">
        <v>6</v>
      </c>
      <c r="I23" s="23">
        <v>900</v>
      </c>
      <c r="J23" s="95">
        <v>108000</v>
      </c>
      <c r="K23" s="95" t="s">
        <v>134</v>
      </c>
      <c r="L23" s="25">
        <v>32400</v>
      </c>
      <c r="O23" s="11" cm="1">
        <f t="array" ref="O23">SUM(H23:H24*I23)</f>
        <v>10800</v>
      </c>
      <c r="P23" s="11">
        <f>SUM(O23*4)</f>
        <v>43200</v>
      </c>
      <c r="Q23" s="10">
        <f t="shared" si="0"/>
        <v>32400</v>
      </c>
      <c r="S23" s="11">
        <f t="shared" si="1"/>
        <v>10800</v>
      </c>
    </row>
    <row r="24" spans="1:19" ht="13.2">
      <c r="A24" s="96"/>
      <c r="B24" s="96"/>
      <c r="C24" s="96"/>
      <c r="D24" s="96"/>
      <c r="E24" s="25"/>
      <c r="F24" s="25"/>
      <c r="G24" s="23" t="s">
        <v>31</v>
      </c>
      <c r="H24" s="23">
        <v>6</v>
      </c>
      <c r="I24" s="23">
        <v>900</v>
      </c>
      <c r="J24" s="96"/>
      <c r="K24" s="96"/>
      <c r="L24" s="25"/>
    </row>
    <row r="25" spans="1:19" ht="13.2">
      <c r="A25" s="30"/>
      <c r="B25" s="110"/>
      <c r="C25" s="111"/>
      <c r="D25" s="111"/>
      <c r="E25" s="111"/>
      <c r="F25" s="111"/>
      <c r="G25" s="111"/>
      <c r="H25" s="111"/>
      <c r="I25" s="111"/>
      <c r="J25" s="111"/>
      <c r="K25" s="111"/>
      <c r="L25" s="112"/>
    </row>
    <row r="26" spans="1:19" ht="13.2">
      <c r="A26" s="23">
        <v>8</v>
      </c>
      <c r="B26" s="31" t="s">
        <v>135</v>
      </c>
      <c r="C26" s="23" t="s">
        <v>136</v>
      </c>
      <c r="D26" s="23">
        <v>8</v>
      </c>
      <c r="E26" s="25">
        <v>12</v>
      </c>
      <c r="F26" s="57">
        <v>46200</v>
      </c>
      <c r="G26" s="23" t="s">
        <v>92</v>
      </c>
      <c r="H26" s="23">
        <v>8</v>
      </c>
      <c r="I26" s="23">
        <v>900</v>
      </c>
      <c r="J26" s="23">
        <v>57600</v>
      </c>
      <c r="K26" s="23" t="s">
        <v>63</v>
      </c>
      <c r="L26" s="25">
        <v>8100</v>
      </c>
      <c r="O26" s="11">
        <f>SUM(H26*I26)</f>
        <v>7200</v>
      </c>
      <c r="P26" s="11">
        <f>SUM(O26*4)</f>
        <v>28800</v>
      </c>
      <c r="Q26" s="10">
        <f t="shared" si="0"/>
        <v>8100</v>
      </c>
      <c r="S26" s="11">
        <f t="shared" si="1"/>
        <v>20700</v>
      </c>
    </row>
    <row r="27" spans="1:19" ht="13.2">
      <c r="A27" s="35"/>
      <c r="B27" s="119"/>
      <c r="C27" s="111"/>
      <c r="D27" s="111"/>
      <c r="E27" s="111"/>
      <c r="F27" s="111"/>
      <c r="G27" s="111"/>
      <c r="H27" s="111"/>
      <c r="I27" s="111"/>
      <c r="J27" s="111"/>
      <c r="K27" s="111"/>
      <c r="L27" s="112"/>
    </row>
    <row r="28" spans="1:19" ht="13.2">
      <c r="A28" s="23">
        <v>9</v>
      </c>
      <c r="B28" s="31" t="s">
        <v>137</v>
      </c>
      <c r="C28" s="23" t="s">
        <v>138</v>
      </c>
      <c r="D28" s="23">
        <v>6</v>
      </c>
      <c r="E28" s="25">
        <v>11</v>
      </c>
      <c r="F28" s="57">
        <v>46207</v>
      </c>
      <c r="G28" s="23" t="s">
        <v>28</v>
      </c>
      <c r="H28" s="23">
        <v>8</v>
      </c>
      <c r="I28" s="23">
        <v>900</v>
      </c>
      <c r="J28" s="23">
        <v>43200</v>
      </c>
      <c r="K28" s="23" t="s">
        <v>139</v>
      </c>
      <c r="L28" s="25">
        <v>37800</v>
      </c>
      <c r="O28" s="11" cm="1">
        <f t="array" ref="O28">SUM(H28:H29*I28)</f>
        <v>12600</v>
      </c>
      <c r="P28" s="11">
        <f>SUM(O28*4)</f>
        <v>50400</v>
      </c>
      <c r="Q28" s="10">
        <f t="shared" si="0"/>
        <v>37800</v>
      </c>
      <c r="S28" s="11">
        <f t="shared" si="1"/>
        <v>12600</v>
      </c>
    </row>
    <row r="29" spans="1:19" ht="13.2">
      <c r="A29" s="23"/>
      <c r="B29" s="23"/>
      <c r="C29" s="23"/>
      <c r="D29" s="23"/>
      <c r="E29" s="25"/>
      <c r="F29" s="25"/>
      <c r="G29" s="23" t="s">
        <v>31</v>
      </c>
      <c r="H29" s="23">
        <v>6</v>
      </c>
      <c r="I29" s="23"/>
      <c r="J29" s="23">
        <v>43200</v>
      </c>
      <c r="K29" s="23">
        <v>5400</v>
      </c>
      <c r="L29" s="25"/>
    </row>
    <row r="30" spans="1:19" ht="13.2">
      <c r="A30" s="35"/>
      <c r="B30" s="119"/>
      <c r="C30" s="111"/>
      <c r="D30" s="111"/>
      <c r="E30" s="111"/>
      <c r="F30" s="111"/>
      <c r="G30" s="111"/>
      <c r="H30" s="111"/>
      <c r="I30" s="111"/>
      <c r="J30" s="111"/>
      <c r="K30" s="111"/>
      <c r="L30" s="112"/>
    </row>
    <row r="31" spans="1:19" ht="13.2">
      <c r="A31" s="23">
        <v>10</v>
      </c>
      <c r="B31" s="31" t="s">
        <v>140</v>
      </c>
      <c r="C31" s="23" t="s">
        <v>141</v>
      </c>
      <c r="D31" s="23">
        <v>10</v>
      </c>
      <c r="E31" s="25">
        <v>12</v>
      </c>
      <c r="F31" s="57">
        <v>46208</v>
      </c>
      <c r="G31" s="23" t="s">
        <v>92</v>
      </c>
      <c r="H31" s="23">
        <v>10</v>
      </c>
      <c r="I31" s="23">
        <v>900</v>
      </c>
      <c r="J31" s="23">
        <v>9000</v>
      </c>
      <c r="K31" s="23">
        <v>5000</v>
      </c>
      <c r="L31" s="25">
        <v>13500</v>
      </c>
      <c r="O31" s="11">
        <f>SUM(H31*I31)</f>
        <v>9000</v>
      </c>
      <c r="P31" s="11">
        <f>SUM(O31*4)</f>
        <v>36000</v>
      </c>
      <c r="Q31" s="10">
        <f t="shared" si="0"/>
        <v>13500</v>
      </c>
      <c r="S31" s="11">
        <f t="shared" si="1"/>
        <v>22500</v>
      </c>
    </row>
    <row r="32" spans="1:19" ht="13.2">
      <c r="A32" s="35"/>
      <c r="B32" s="35"/>
      <c r="C32" s="35"/>
      <c r="D32" s="35"/>
      <c r="E32" s="25"/>
      <c r="F32" s="25"/>
      <c r="G32" s="35"/>
      <c r="H32" s="35"/>
      <c r="I32" s="35"/>
      <c r="J32" s="35"/>
      <c r="K32" s="35"/>
      <c r="L32" s="35"/>
    </row>
    <row r="33" spans="1:19" ht="13.2">
      <c r="A33" s="95">
        <v>11</v>
      </c>
      <c r="B33" s="113" t="s">
        <v>142</v>
      </c>
      <c r="C33" s="95" t="s">
        <v>133</v>
      </c>
      <c r="D33" s="23">
        <v>18</v>
      </c>
      <c r="E33" s="25">
        <v>10</v>
      </c>
      <c r="F33" s="57">
        <v>46204</v>
      </c>
      <c r="G33" s="23" t="s">
        <v>28</v>
      </c>
      <c r="H33" s="23">
        <v>6</v>
      </c>
      <c r="I33" s="23">
        <v>900</v>
      </c>
      <c r="J33" s="23"/>
      <c r="K33" s="23" t="s">
        <v>143</v>
      </c>
      <c r="L33" s="25">
        <v>24300</v>
      </c>
      <c r="O33" s="11" cm="1">
        <f t="array" ref="O33">SUM(H33:H36*I33)</f>
        <v>16200</v>
      </c>
      <c r="P33" s="11">
        <f>SUM(O33*4)</f>
        <v>64800</v>
      </c>
      <c r="Q33" s="10">
        <f t="shared" si="0"/>
        <v>24300</v>
      </c>
      <c r="S33" s="11">
        <f t="shared" si="1"/>
        <v>40500</v>
      </c>
    </row>
    <row r="34" spans="1:19" ht="13.2">
      <c r="A34" s="105"/>
      <c r="B34" s="105"/>
      <c r="C34" s="105"/>
      <c r="D34" s="23"/>
      <c r="E34" s="25"/>
      <c r="F34" s="25"/>
      <c r="G34" s="23" t="s">
        <v>42</v>
      </c>
      <c r="H34" s="23">
        <v>4</v>
      </c>
      <c r="I34" s="23"/>
      <c r="J34" s="23"/>
      <c r="K34" s="23"/>
      <c r="L34" s="25"/>
    </row>
    <row r="35" spans="1:19" ht="13.2">
      <c r="A35" s="105"/>
      <c r="B35" s="105"/>
      <c r="C35" s="105"/>
      <c r="D35" s="23"/>
      <c r="E35" s="25"/>
      <c r="F35" s="25"/>
      <c r="G35" s="23" t="s">
        <v>31</v>
      </c>
      <c r="H35" s="23">
        <v>4</v>
      </c>
      <c r="I35" s="23"/>
      <c r="J35" s="23"/>
      <c r="K35" s="23"/>
      <c r="L35" s="25"/>
    </row>
    <row r="36" spans="1:19" ht="13.2">
      <c r="A36" s="96"/>
      <c r="B36" s="96"/>
      <c r="C36" s="96"/>
      <c r="D36" s="23"/>
      <c r="E36" s="25"/>
      <c r="F36" s="25"/>
      <c r="G36" s="23" t="s">
        <v>76</v>
      </c>
      <c r="H36" s="23">
        <v>4</v>
      </c>
      <c r="I36" s="23"/>
      <c r="J36" s="23"/>
      <c r="K36" s="23"/>
      <c r="L36" s="25"/>
    </row>
    <row r="37" spans="1:19" ht="13.2">
      <c r="A37" s="30"/>
      <c r="B37" s="30"/>
      <c r="C37" s="30"/>
      <c r="D37" s="30"/>
      <c r="E37" s="25"/>
      <c r="F37" s="25"/>
      <c r="G37" s="30"/>
      <c r="H37" s="30"/>
      <c r="I37" s="30"/>
      <c r="J37" s="30"/>
      <c r="K37" s="30"/>
      <c r="L37" s="30"/>
    </row>
    <row r="38" spans="1:19" ht="13.2">
      <c r="A38" s="95">
        <v>12</v>
      </c>
      <c r="B38" s="113" t="s">
        <v>144</v>
      </c>
      <c r="C38" s="95" t="s">
        <v>145</v>
      </c>
      <c r="D38" s="23">
        <v>12</v>
      </c>
      <c r="E38" s="25">
        <v>11</v>
      </c>
      <c r="F38" s="57">
        <v>46222</v>
      </c>
      <c r="G38" s="23" t="s">
        <v>31</v>
      </c>
      <c r="H38" s="23">
        <v>6</v>
      </c>
      <c r="I38" s="95">
        <v>800</v>
      </c>
      <c r="J38" s="23" t="s">
        <v>146</v>
      </c>
      <c r="K38" s="23" t="s">
        <v>63</v>
      </c>
      <c r="L38" s="25">
        <v>22400</v>
      </c>
      <c r="O38" s="11" cm="1">
        <f t="array" ref="O38">SUM(H38:H39*I38)</f>
        <v>9600</v>
      </c>
      <c r="P38" s="11">
        <f>SUM(O38*3)</f>
        <v>28800</v>
      </c>
      <c r="Q38" s="10">
        <f t="shared" si="0"/>
        <v>22400</v>
      </c>
      <c r="S38" s="11">
        <f t="shared" si="1"/>
        <v>6400</v>
      </c>
    </row>
    <row r="39" spans="1:19" ht="13.2">
      <c r="A39" s="96"/>
      <c r="B39" s="96"/>
      <c r="C39" s="96"/>
      <c r="D39" s="23"/>
      <c r="E39" s="25"/>
      <c r="F39" s="25"/>
      <c r="G39" s="23" t="s">
        <v>42</v>
      </c>
      <c r="H39" s="23">
        <v>6</v>
      </c>
      <c r="I39" s="96"/>
      <c r="J39" s="23"/>
      <c r="K39" s="23"/>
      <c r="L39" s="25"/>
    </row>
    <row r="40" spans="1:19" ht="13.2">
      <c r="A40" s="35"/>
      <c r="B40" s="35"/>
      <c r="C40" s="35"/>
      <c r="D40" s="35"/>
      <c r="E40" s="25"/>
      <c r="F40" s="25"/>
      <c r="G40" s="35"/>
      <c r="H40" s="35"/>
      <c r="I40" s="35"/>
      <c r="J40" s="35"/>
      <c r="K40" s="35"/>
      <c r="L40" s="35"/>
    </row>
    <row r="41" spans="1:19" ht="13.2">
      <c r="A41" s="98">
        <v>13</v>
      </c>
      <c r="B41" s="113" t="s">
        <v>147</v>
      </c>
      <c r="C41" s="95" t="s">
        <v>145</v>
      </c>
      <c r="D41" s="23">
        <v>12</v>
      </c>
      <c r="E41" s="25">
        <v>9</v>
      </c>
      <c r="F41" s="57">
        <v>46225</v>
      </c>
      <c r="G41" s="95" t="s">
        <v>28</v>
      </c>
      <c r="H41" s="95">
        <v>12</v>
      </c>
      <c r="I41" s="95">
        <v>800</v>
      </c>
      <c r="J41" s="23">
        <v>52800</v>
      </c>
      <c r="K41" s="23" t="s">
        <v>148</v>
      </c>
      <c r="L41" s="25">
        <v>9600</v>
      </c>
      <c r="O41" s="11">
        <f>SUM(H41*I41)</f>
        <v>9600</v>
      </c>
      <c r="P41" s="11">
        <f>SUM(O41*3)</f>
        <v>28800</v>
      </c>
      <c r="Q41" s="10">
        <f t="shared" si="0"/>
        <v>9600</v>
      </c>
      <c r="S41" s="11">
        <f t="shared" si="1"/>
        <v>19200</v>
      </c>
    </row>
    <row r="42" spans="1:19" ht="13.2">
      <c r="A42" s="96"/>
      <c r="B42" s="96"/>
      <c r="C42" s="96"/>
      <c r="D42" s="23"/>
      <c r="E42" s="25"/>
      <c r="F42" s="44"/>
      <c r="G42" s="96"/>
      <c r="H42" s="96"/>
      <c r="I42" s="96"/>
      <c r="J42" s="23"/>
      <c r="K42" s="23"/>
      <c r="L42" s="25"/>
    </row>
    <row r="43" spans="1:19" ht="13.2">
      <c r="A43" s="36"/>
      <c r="B43" s="36"/>
      <c r="C43" s="36"/>
      <c r="D43" s="36"/>
      <c r="E43" s="37"/>
      <c r="F43" s="37"/>
      <c r="G43" s="36"/>
      <c r="H43" s="36"/>
      <c r="I43" s="36"/>
      <c r="J43" s="36"/>
      <c r="K43" s="36"/>
      <c r="L43" s="36"/>
    </row>
    <row r="44" spans="1:19" ht="13.2">
      <c r="A44" s="98">
        <v>14</v>
      </c>
      <c r="B44" s="113" t="s">
        <v>149</v>
      </c>
      <c r="C44" s="95" t="s">
        <v>150</v>
      </c>
      <c r="D44" s="23">
        <v>12</v>
      </c>
      <c r="E44" s="25">
        <v>8</v>
      </c>
      <c r="F44" s="57">
        <v>46230</v>
      </c>
      <c r="G44" s="23" t="s">
        <v>31</v>
      </c>
      <c r="H44" s="23">
        <v>4</v>
      </c>
      <c r="I44" s="23">
        <v>600</v>
      </c>
      <c r="J44" s="23" t="s">
        <v>151</v>
      </c>
      <c r="K44" s="23" t="s">
        <v>152</v>
      </c>
      <c r="L44" s="25">
        <v>15500</v>
      </c>
      <c r="O44" s="11" cm="1">
        <f t="array" ref="O44">SUM(H44:H48*I44)</f>
        <v>12000</v>
      </c>
      <c r="P44" s="11">
        <f>SUM(O44*3)</f>
        <v>36000</v>
      </c>
      <c r="Q44" s="10">
        <f t="shared" si="0"/>
        <v>15500</v>
      </c>
      <c r="S44" s="11">
        <f t="shared" si="1"/>
        <v>20500</v>
      </c>
    </row>
    <row r="45" spans="1:19" ht="13.2">
      <c r="A45" s="105"/>
      <c r="B45" s="105"/>
      <c r="C45" s="105"/>
      <c r="D45" s="23"/>
      <c r="E45" s="25"/>
      <c r="F45" s="25"/>
      <c r="G45" s="23" t="s">
        <v>42</v>
      </c>
      <c r="H45" s="23">
        <v>4</v>
      </c>
      <c r="I45" s="23">
        <v>600</v>
      </c>
      <c r="J45" s="23"/>
      <c r="K45" s="23"/>
      <c r="L45" s="25"/>
    </row>
    <row r="46" spans="1:19" ht="13.2">
      <c r="A46" s="105"/>
      <c r="B46" s="105"/>
      <c r="C46" s="105"/>
      <c r="D46" s="23"/>
      <c r="E46" s="25"/>
      <c r="F46" s="25"/>
      <c r="G46" s="23" t="s">
        <v>153</v>
      </c>
      <c r="H46" s="23">
        <v>4</v>
      </c>
      <c r="I46" s="23">
        <v>600</v>
      </c>
      <c r="J46" s="23"/>
      <c r="K46" s="23"/>
      <c r="L46" s="25"/>
    </row>
    <row r="47" spans="1:19" ht="13.2">
      <c r="A47" s="105"/>
      <c r="B47" s="105"/>
      <c r="C47" s="105"/>
      <c r="D47" s="23"/>
      <c r="E47" s="25"/>
      <c r="F47" s="25"/>
      <c r="G47" s="23" t="s">
        <v>28</v>
      </c>
      <c r="H47" s="23">
        <v>4</v>
      </c>
      <c r="I47" s="23">
        <v>600</v>
      </c>
      <c r="J47" s="23"/>
      <c r="K47" s="23"/>
      <c r="L47" s="25"/>
    </row>
    <row r="48" spans="1:19" ht="13.2">
      <c r="A48" s="96"/>
      <c r="B48" s="96"/>
      <c r="C48" s="96"/>
      <c r="D48" s="23"/>
      <c r="E48" s="25"/>
      <c r="F48" s="25"/>
      <c r="G48" s="23" t="s">
        <v>76</v>
      </c>
      <c r="H48" s="23">
        <v>4</v>
      </c>
      <c r="I48" s="23">
        <v>600</v>
      </c>
      <c r="J48" s="23"/>
      <c r="K48" s="23"/>
      <c r="L48" s="25"/>
    </row>
    <row r="49" spans="1:19" ht="13.2">
      <c r="A49" s="38"/>
      <c r="B49" s="38"/>
      <c r="C49" s="38"/>
      <c r="D49" s="38"/>
      <c r="E49" s="25"/>
      <c r="F49" s="25"/>
      <c r="G49" s="38"/>
      <c r="H49" s="38"/>
      <c r="I49" s="38"/>
      <c r="J49" s="38"/>
      <c r="K49" s="38"/>
      <c r="L49" s="38"/>
    </row>
    <row r="50" spans="1:19" ht="13.2">
      <c r="A50" s="95">
        <v>15</v>
      </c>
      <c r="B50" s="102" t="s">
        <v>154</v>
      </c>
      <c r="C50" s="95" t="s">
        <v>145</v>
      </c>
      <c r="D50" s="23">
        <v>24</v>
      </c>
      <c r="E50" s="25">
        <v>10</v>
      </c>
      <c r="F50" s="57">
        <v>46236</v>
      </c>
      <c r="G50" s="23" t="s">
        <v>31</v>
      </c>
      <c r="H50" s="23">
        <v>4</v>
      </c>
      <c r="I50" s="23">
        <v>670</v>
      </c>
      <c r="J50" s="23" t="s">
        <v>155</v>
      </c>
      <c r="K50" s="23" t="s">
        <v>63</v>
      </c>
      <c r="L50" s="25"/>
      <c r="O50" s="11" cm="1">
        <f t="array" ref="O50">SUM(H50:H53*I50)</f>
        <v>12060</v>
      </c>
      <c r="P50" s="11">
        <f>SUM(O50*3)</f>
        <v>36180</v>
      </c>
      <c r="Q50" s="10">
        <f>SUM(L51)</f>
        <v>12660</v>
      </c>
      <c r="S50" s="11">
        <f t="shared" si="1"/>
        <v>23520</v>
      </c>
    </row>
    <row r="51" spans="1:19" ht="13.2">
      <c r="A51" s="105"/>
      <c r="B51" s="103"/>
      <c r="C51" s="105"/>
      <c r="D51" s="23"/>
      <c r="E51" s="25"/>
      <c r="F51" s="25"/>
      <c r="G51" s="23" t="s">
        <v>42</v>
      </c>
      <c r="H51" s="23">
        <v>4</v>
      </c>
      <c r="I51" s="23">
        <v>670</v>
      </c>
      <c r="J51" s="23"/>
      <c r="K51" s="23"/>
      <c r="L51" s="25">
        <v>12660</v>
      </c>
    </row>
    <row r="52" spans="1:19" ht="13.2">
      <c r="A52" s="105"/>
      <c r="B52" s="103"/>
      <c r="C52" s="105"/>
      <c r="D52" s="23"/>
      <c r="E52" s="25"/>
      <c r="F52" s="25"/>
      <c r="G52" s="23" t="s">
        <v>76</v>
      </c>
      <c r="H52" s="23">
        <v>4</v>
      </c>
      <c r="I52" s="23">
        <v>670</v>
      </c>
      <c r="J52" s="23"/>
      <c r="K52" s="23"/>
      <c r="L52" s="25"/>
    </row>
    <row r="53" spans="1:19" ht="13.2">
      <c r="A53" s="96"/>
      <c r="B53" s="104"/>
      <c r="C53" s="96"/>
      <c r="D53" s="23"/>
      <c r="E53" s="25"/>
      <c r="F53" s="25"/>
      <c r="G53" s="23" t="s">
        <v>28</v>
      </c>
      <c r="H53" s="23">
        <v>6</v>
      </c>
      <c r="I53" s="23">
        <v>670</v>
      </c>
      <c r="J53" s="23"/>
      <c r="K53" s="23"/>
      <c r="L53" s="25"/>
    </row>
    <row r="54" spans="1:19" ht="13.2">
      <c r="A54" s="33"/>
      <c r="B54" s="33"/>
      <c r="C54" s="33"/>
      <c r="D54" s="33"/>
      <c r="E54" s="25"/>
      <c r="F54" s="25"/>
      <c r="G54" s="33"/>
      <c r="H54" s="33"/>
      <c r="I54" s="33"/>
      <c r="J54" s="33"/>
      <c r="K54" s="33"/>
      <c r="L54" s="33"/>
    </row>
    <row r="55" spans="1:19" ht="13.2">
      <c r="A55" s="25">
        <v>16</v>
      </c>
      <c r="B55" s="23" t="s">
        <v>156</v>
      </c>
      <c r="C55" s="23" t="s">
        <v>145</v>
      </c>
      <c r="D55" s="23">
        <v>6</v>
      </c>
      <c r="E55" s="25">
        <v>8</v>
      </c>
      <c r="F55" s="57">
        <v>46251</v>
      </c>
      <c r="G55" s="24" t="s">
        <v>28</v>
      </c>
      <c r="H55" s="23">
        <v>6</v>
      </c>
      <c r="I55" s="23">
        <v>600</v>
      </c>
      <c r="J55" s="23" t="s">
        <v>157</v>
      </c>
      <c r="K55" s="23" t="s">
        <v>158</v>
      </c>
      <c r="L55" s="25">
        <v>2940</v>
      </c>
      <c r="O55" s="11">
        <f>SUM(H55*I55)</f>
        <v>3600</v>
      </c>
      <c r="P55" s="11">
        <f>SUM(O55*2)</f>
        <v>7200</v>
      </c>
      <c r="Q55" s="10">
        <f t="shared" si="0"/>
        <v>2940</v>
      </c>
      <c r="S55" s="11">
        <f t="shared" si="1"/>
        <v>4260</v>
      </c>
    </row>
    <row r="56" spans="1:19" ht="13.2">
      <c r="A56" s="30"/>
      <c r="B56" s="30"/>
      <c r="C56" s="30"/>
      <c r="D56" s="30"/>
      <c r="E56" s="25"/>
      <c r="F56" s="27"/>
      <c r="G56" s="39"/>
      <c r="H56" s="30"/>
      <c r="I56" s="30"/>
      <c r="J56" s="30"/>
      <c r="K56" s="30"/>
      <c r="L56" s="30"/>
    </row>
    <row r="57" spans="1:19" ht="13.2">
      <c r="A57" s="95">
        <v>17</v>
      </c>
      <c r="B57" s="95" t="s">
        <v>159</v>
      </c>
      <c r="C57" s="95" t="s">
        <v>145</v>
      </c>
      <c r="D57" s="23">
        <v>18</v>
      </c>
      <c r="E57" s="25">
        <v>10</v>
      </c>
      <c r="F57" s="57">
        <v>46251</v>
      </c>
      <c r="G57" s="23" t="s">
        <v>28</v>
      </c>
      <c r="H57" s="23">
        <v>6</v>
      </c>
      <c r="I57" s="23">
        <v>800</v>
      </c>
      <c r="J57" s="95" t="s">
        <v>160</v>
      </c>
      <c r="K57" s="95" t="s">
        <v>161</v>
      </c>
      <c r="L57" s="25">
        <v>11340</v>
      </c>
      <c r="O57" s="11" cm="1">
        <f t="array" ref="O57">SUM(H57:H60*I57)</f>
        <v>14400</v>
      </c>
      <c r="P57" s="11">
        <f>SUM(O57*2)</f>
        <v>28800</v>
      </c>
      <c r="Q57" s="10">
        <f t="shared" si="0"/>
        <v>11340</v>
      </c>
      <c r="S57" s="11">
        <f t="shared" si="1"/>
        <v>17460</v>
      </c>
    </row>
    <row r="58" spans="1:19" ht="13.2">
      <c r="A58" s="105"/>
      <c r="B58" s="105"/>
      <c r="C58" s="105"/>
      <c r="D58" s="23"/>
      <c r="E58" s="25"/>
      <c r="F58" s="25"/>
      <c r="G58" s="23" t="s">
        <v>42</v>
      </c>
      <c r="H58" s="23">
        <v>4</v>
      </c>
      <c r="I58" s="23">
        <v>800</v>
      </c>
      <c r="J58" s="105"/>
      <c r="K58" s="105"/>
      <c r="L58" s="25"/>
    </row>
    <row r="59" spans="1:19" ht="13.2">
      <c r="A59" s="105"/>
      <c r="B59" s="105"/>
      <c r="C59" s="105"/>
      <c r="D59" s="23"/>
      <c r="E59" s="25"/>
      <c r="F59" s="25"/>
      <c r="G59" s="23" t="s">
        <v>31</v>
      </c>
      <c r="H59" s="23">
        <v>4</v>
      </c>
      <c r="I59" s="23">
        <v>800</v>
      </c>
      <c r="J59" s="105"/>
      <c r="K59" s="105"/>
      <c r="L59" s="25"/>
    </row>
    <row r="60" spans="1:19" ht="13.2">
      <c r="A60" s="96"/>
      <c r="B60" s="96"/>
      <c r="C60" s="96"/>
      <c r="D60" s="23"/>
      <c r="E60" s="25"/>
      <c r="F60" s="25"/>
      <c r="G60" s="23" t="s">
        <v>76</v>
      </c>
      <c r="H60" s="23">
        <v>4</v>
      </c>
      <c r="I60" s="23">
        <v>800</v>
      </c>
      <c r="J60" s="96"/>
      <c r="K60" s="96"/>
      <c r="L60" s="25"/>
    </row>
    <row r="61" spans="1:19" ht="13.2">
      <c r="A61" s="33"/>
      <c r="B61" s="33"/>
      <c r="C61" s="33"/>
      <c r="D61" s="33"/>
      <c r="E61" s="25"/>
      <c r="F61" s="25"/>
      <c r="G61" s="33"/>
      <c r="H61" s="33"/>
      <c r="I61" s="33"/>
      <c r="J61" s="33"/>
      <c r="K61" s="33"/>
      <c r="L61" s="33"/>
    </row>
    <row r="62" spans="1:19" ht="13.2">
      <c r="A62" s="98">
        <v>18</v>
      </c>
      <c r="B62" s="98" t="s">
        <v>162</v>
      </c>
      <c r="C62" s="98" t="s">
        <v>163</v>
      </c>
      <c r="D62" s="25">
        <v>12</v>
      </c>
      <c r="E62" s="25">
        <v>11</v>
      </c>
      <c r="F62" s="57">
        <v>46253</v>
      </c>
      <c r="G62" s="25" t="s">
        <v>42</v>
      </c>
      <c r="H62" s="25">
        <v>6</v>
      </c>
      <c r="I62" s="25">
        <v>900</v>
      </c>
      <c r="J62" s="98" t="s">
        <v>164</v>
      </c>
      <c r="K62" s="98" t="s">
        <v>63</v>
      </c>
      <c r="L62" s="25"/>
      <c r="O62" s="11" cm="1">
        <f t="array" ref="O62">SUM(H62:H64*I62)</f>
        <v>16200</v>
      </c>
      <c r="P62" s="11">
        <f>SUM(O62*2)</f>
        <v>32400</v>
      </c>
      <c r="Q62" s="10">
        <f>SUM(L64)</f>
        <v>5000</v>
      </c>
      <c r="S62" s="11">
        <f t="shared" si="1"/>
        <v>27400</v>
      </c>
    </row>
    <row r="63" spans="1:19" ht="13.2">
      <c r="A63" s="105"/>
      <c r="B63" s="105"/>
      <c r="C63" s="105"/>
      <c r="D63" s="25"/>
      <c r="E63" s="25"/>
      <c r="F63" s="25"/>
      <c r="G63" s="25" t="s">
        <v>76</v>
      </c>
      <c r="H63" s="25">
        <v>6</v>
      </c>
      <c r="I63" s="25">
        <v>900</v>
      </c>
      <c r="J63" s="105"/>
      <c r="K63" s="105"/>
      <c r="L63" s="25"/>
    </row>
    <row r="64" spans="1:19" ht="13.2">
      <c r="A64" s="96"/>
      <c r="B64" s="96"/>
      <c r="C64" s="96"/>
      <c r="D64" s="25"/>
      <c r="E64" s="25"/>
      <c r="F64" s="25"/>
      <c r="G64" s="25" t="s">
        <v>31</v>
      </c>
      <c r="H64" s="25">
        <v>6</v>
      </c>
      <c r="I64" s="25">
        <v>900</v>
      </c>
      <c r="J64" s="96"/>
      <c r="K64" s="96"/>
      <c r="L64" s="25">
        <v>5000</v>
      </c>
    </row>
    <row r="65" spans="1:19" ht="13.2">
      <c r="A65" s="40"/>
      <c r="B65" s="40"/>
      <c r="C65" s="40"/>
      <c r="D65" s="36"/>
      <c r="E65" s="37"/>
      <c r="F65" s="37"/>
      <c r="G65" s="40"/>
      <c r="H65" s="36"/>
      <c r="I65" s="36"/>
      <c r="J65" s="36"/>
      <c r="K65" s="36"/>
      <c r="L65" s="36"/>
    </row>
    <row r="66" spans="1:19" ht="13.2">
      <c r="A66" s="95">
        <v>19</v>
      </c>
      <c r="B66" s="95" t="s">
        <v>165</v>
      </c>
      <c r="C66" s="95" t="s">
        <v>166</v>
      </c>
      <c r="D66" s="23">
        <v>6</v>
      </c>
      <c r="E66" s="25">
        <v>10</v>
      </c>
      <c r="F66" s="57">
        <v>46255</v>
      </c>
      <c r="G66" s="23" t="s">
        <v>28</v>
      </c>
      <c r="H66" s="23">
        <v>6</v>
      </c>
      <c r="I66" s="23">
        <v>800</v>
      </c>
      <c r="J66" s="23" t="s">
        <v>119</v>
      </c>
      <c r="K66" s="23" t="s">
        <v>97</v>
      </c>
      <c r="L66" s="25">
        <v>3000</v>
      </c>
      <c r="O66" s="11">
        <f>SUM(H66*I66)</f>
        <v>4800</v>
      </c>
      <c r="P66" s="11">
        <f>SUM(O66*2)</f>
        <v>9600</v>
      </c>
      <c r="Q66" s="10">
        <f t="shared" si="0"/>
        <v>3000</v>
      </c>
      <c r="S66" s="11">
        <f t="shared" si="1"/>
        <v>6600</v>
      </c>
    </row>
    <row r="67" spans="1:19" ht="13.2">
      <c r="A67" s="96"/>
      <c r="B67" s="96"/>
      <c r="C67" s="96"/>
      <c r="D67" s="23"/>
      <c r="E67" s="25"/>
      <c r="F67" s="25"/>
      <c r="G67" s="23"/>
      <c r="H67" s="23"/>
      <c r="I67" s="23"/>
      <c r="J67" s="23"/>
      <c r="K67" s="23"/>
      <c r="L67" s="25"/>
    </row>
    <row r="68" spans="1:19" ht="13.2">
      <c r="A68" s="41"/>
      <c r="B68" s="41"/>
      <c r="C68" s="41"/>
      <c r="D68" s="41"/>
      <c r="E68" s="25"/>
      <c r="F68" s="25"/>
      <c r="G68" s="41"/>
      <c r="H68" s="41"/>
      <c r="I68" s="41"/>
      <c r="J68" s="41"/>
      <c r="K68" s="41"/>
      <c r="L68" s="41"/>
    </row>
    <row r="69" spans="1:19" ht="13.2">
      <c r="A69" s="95">
        <v>20</v>
      </c>
      <c r="B69" s="95" t="s">
        <v>167</v>
      </c>
      <c r="C69" s="95" t="s">
        <v>131</v>
      </c>
      <c r="D69" s="23">
        <v>6</v>
      </c>
      <c r="E69" s="25">
        <v>11</v>
      </c>
      <c r="F69" s="57">
        <v>46258</v>
      </c>
      <c r="G69" s="23" t="s">
        <v>31</v>
      </c>
      <c r="H69" s="23">
        <v>6</v>
      </c>
      <c r="I69" s="23">
        <v>900</v>
      </c>
      <c r="J69" s="23"/>
      <c r="K69" s="23" t="s">
        <v>63</v>
      </c>
      <c r="L69" s="25">
        <v>5000</v>
      </c>
      <c r="O69" s="11">
        <f>SUM(H69*I69)</f>
        <v>5400</v>
      </c>
      <c r="P69" s="11">
        <f>SUM(O69*2)</f>
        <v>10800</v>
      </c>
      <c r="Q69" s="10">
        <f>SUM(L69)</f>
        <v>5000</v>
      </c>
      <c r="S69" s="11">
        <f t="shared" ref="S69:S129" si="2">SUM(P69-Q69)</f>
        <v>5800</v>
      </c>
    </row>
    <row r="70" spans="1:19" ht="13.2">
      <c r="A70" s="96"/>
      <c r="B70" s="96"/>
      <c r="C70" s="96"/>
      <c r="D70" s="23"/>
      <c r="E70" s="25"/>
      <c r="F70" s="25"/>
      <c r="G70" s="23"/>
      <c r="H70" s="23"/>
      <c r="I70" s="23"/>
      <c r="J70" s="23"/>
      <c r="K70" s="23"/>
      <c r="L70" s="25"/>
    </row>
    <row r="71" spans="1:19" ht="13.2">
      <c r="A71" s="41"/>
      <c r="B71" s="41"/>
      <c r="C71" s="41"/>
      <c r="D71" s="41"/>
      <c r="E71" s="25"/>
      <c r="F71" s="25"/>
      <c r="G71" s="41"/>
      <c r="H71" s="41"/>
      <c r="I71" s="41"/>
      <c r="J71" s="41"/>
      <c r="K71" s="41"/>
      <c r="L71" s="41"/>
    </row>
    <row r="72" spans="1:19" ht="13.2">
      <c r="A72" s="95">
        <v>21</v>
      </c>
      <c r="B72" s="95" t="s">
        <v>168</v>
      </c>
      <c r="C72" s="95" t="s">
        <v>53</v>
      </c>
      <c r="D72" s="23">
        <v>6</v>
      </c>
      <c r="E72" s="25">
        <v>8</v>
      </c>
      <c r="F72" s="57">
        <v>46265</v>
      </c>
      <c r="G72" s="23" t="s">
        <v>28</v>
      </c>
      <c r="H72" s="23">
        <v>6</v>
      </c>
      <c r="I72" s="23">
        <v>570</v>
      </c>
      <c r="J72" s="23" t="s">
        <v>169</v>
      </c>
      <c r="K72" s="23" t="s">
        <v>63</v>
      </c>
      <c r="L72" s="25">
        <v>5000</v>
      </c>
      <c r="O72" s="11">
        <f>SUM(H72*I72)</f>
        <v>3420</v>
      </c>
      <c r="P72" s="11">
        <f>SUM(O72*2)</f>
        <v>6840</v>
      </c>
      <c r="Q72" s="10">
        <f>SUM(L72)</f>
        <v>5000</v>
      </c>
      <c r="S72" s="11">
        <f t="shared" si="2"/>
        <v>1840</v>
      </c>
    </row>
    <row r="73" spans="1:19" ht="13.2">
      <c r="A73" s="96"/>
      <c r="B73" s="96"/>
      <c r="C73" s="96"/>
      <c r="D73" s="23"/>
      <c r="E73" s="25"/>
      <c r="F73" s="25"/>
      <c r="G73" s="23"/>
      <c r="H73" s="23"/>
      <c r="I73" s="23"/>
      <c r="J73" s="23"/>
      <c r="K73" s="23"/>
      <c r="L73" s="25"/>
    </row>
    <row r="74" spans="1:19" ht="13.2">
      <c r="A74" s="41"/>
      <c r="B74" s="41"/>
      <c r="C74" s="41"/>
      <c r="D74" s="41"/>
      <c r="E74" s="25"/>
      <c r="F74" s="25"/>
      <c r="G74" s="41"/>
      <c r="H74" s="41"/>
      <c r="I74" s="41"/>
      <c r="J74" s="41"/>
      <c r="K74" s="41"/>
      <c r="L74" s="41"/>
    </row>
    <row r="75" spans="1:19" ht="13.2">
      <c r="A75" s="95">
        <v>22</v>
      </c>
      <c r="B75" s="95" t="s">
        <v>170</v>
      </c>
      <c r="C75" s="95" t="s">
        <v>171</v>
      </c>
      <c r="D75" s="23">
        <v>18</v>
      </c>
      <c r="E75" s="25">
        <v>11</v>
      </c>
      <c r="F75" s="57">
        <v>46267</v>
      </c>
      <c r="G75" s="23" t="s">
        <v>28</v>
      </c>
      <c r="H75" s="23">
        <v>6</v>
      </c>
      <c r="I75" s="23">
        <v>800</v>
      </c>
      <c r="J75" s="23" t="s">
        <v>155</v>
      </c>
      <c r="K75" s="23" t="s">
        <v>63</v>
      </c>
      <c r="L75" s="25">
        <v>5000</v>
      </c>
      <c r="O75" s="11" cm="1">
        <f t="array" ref="O75">SUM(H75*I75:I77)</f>
        <v>14400</v>
      </c>
      <c r="P75" s="11">
        <f>SUM(O75*2)</f>
        <v>28800</v>
      </c>
      <c r="Q75" s="10">
        <f>SUM(L75)</f>
        <v>5000</v>
      </c>
      <c r="S75" s="11">
        <f t="shared" si="2"/>
        <v>23800</v>
      </c>
    </row>
    <row r="76" spans="1:19" ht="13.2">
      <c r="A76" s="105"/>
      <c r="B76" s="105"/>
      <c r="C76" s="105"/>
      <c r="D76" s="23"/>
      <c r="E76" s="25"/>
      <c r="F76" s="25"/>
      <c r="G76" s="23" t="s">
        <v>42</v>
      </c>
      <c r="H76" s="23">
        <v>6</v>
      </c>
      <c r="I76" s="23">
        <v>800</v>
      </c>
      <c r="J76" s="23"/>
      <c r="K76" s="23"/>
      <c r="L76" s="25"/>
    </row>
    <row r="77" spans="1:19" ht="13.2">
      <c r="A77" s="96"/>
      <c r="B77" s="96"/>
      <c r="C77" s="96"/>
      <c r="D77" s="23"/>
      <c r="E77" s="25"/>
      <c r="F77" s="25"/>
      <c r="G77" s="23" t="s">
        <v>31</v>
      </c>
      <c r="H77" s="23">
        <v>6</v>
      </c>
      <c r="I77" s="23">
        <v>800</v>
      </c>
      <c r="J77" s="23"/>
      <c r="K77" s="23"/>
      <c r="L77" s="25"/>
    </row>
    <row r="78" spans="1:19" ht="13.2">
      <c r="A78" s="41"/>
      <c r="B78" s="41"/>
      <c r="C78" s="41"/>
      <c r="D78" s="41"/>
      <c r="E78" s="25"/>
      <c r="F78" s="25"/>
      <c r="G78" s="41"/>
      <c r="H78" s="41"/>
      <c r="I78" s="41"/>
      <c r="J78" s="41"/>
      <c r="K78" s="41"/>
      <c r="L78" s="41"/>
    </row>
    <row r="79" spans="1:19" ht="13.2">
      <c r="A79" s="95">
        <v>23</v>
      </c>
      <c r="B79" s="95" t="s">
        <v>172</v>
      </c>
      <c r="C79" s="95" t="s">
        <v>173</v>
      </c>
      <c r="D79" s="23">
        <v>18</v>
      </c>
      <c r="E79" s="25">
        <v>8</v>
      </c>
      <c r="F79" s="57">
        <v>46272</v>
      </c>
      <c r="G79" s="23" t="s">
        <v>28</v>
      </c>
      <c r="H79" s="23">
        <v>8</v>
      </c>
      <c r="I79" s="23">
        <v>600</v>
      </c>
      <c r="J79" s="23">
        <v>61200</v>
      </c>
      <c r="K79" s="23">
        <v>5000</v>
      </c>
      <c r="L79" s="25">
        <v>5000</v>
      </c>
      <c r="O79" s="11" cm="1">
        <f t="array" ref="O79">SUM(H79:H82*I79)</f>
        <v>10200</v>
      </c>
      <c r="P79" s="11">
        <f>SUM(O79*2)</f>
        <v>20400</v>
      </c>
      <c r="Q79" s="10">
        <f>SUM(L79)</f>
        <v>5000</v>
      </c>
      <c r="S79" s="11">
        <f t="shared" si="2"/>
        <v>15400</v>
      </c>
    </row>
    <row r="80" spans="1:19" ht="13.2">
      <c r="A80" s="105"/>
      <c r="B80" s="105"/>
      <c r="C80" s="105"/>
      <c r="D80" s="23"/>
      <c r="E80" s="25"/>
      <c r="F80" s="25"/>
      <c r="G80" s="23" t="s">
        <v>42</v>
      </c>
      <c r="H80" s="23">
        <v>3</v>
      </c>
      <c r="I80" s="23">
        <v>600</v>
      </c>
      <c r="J80" s="23"/>
      <c r="K80" s="23"/>
      <c r="L80" s="25"/>
    </row>
    <row r="81" spans="1:19" ht="13.2">
      <c r="A81" s="105"/>
      <c r="B81" s="105"/>
      <c r="C81" s="105"/>
      <c r="D81" s="23"/>
      <c r="E81" s="25"/>
      <c r="F81" s="25"/>
      <c r="G81" s="23" t="s">
        <v>31</v>
      </c>
      <c r="H81" s="23">
        <v>3</v>
      </c>
      <c r="I81" s="23">
        <v>600</v>
      </c>
      <c r="J81" s="23"/>
      <c r="K81" s="23"/>
      <c r="L81" s="25"/>
    </row>
    <row r="82" spans="1:19" ht="13.2">
      <c r="A82" s="96"/>
      <c r="B82" s="96"/>
      <c r="C82" s="96"/>
      <c r="D82" s="23"/>
      <c r="E82" s="25"/>
      <c r="F82" s="25"/>
      <c r="G82" s="23" t="s">
        <v>76</v>
      </c>
      <c r="H82" s="23">
        <v>3</v>
      </c>
      <c r="I82" s="23">
        <v>600</v>
      </c>
      <c r="J82" s="23"/>
      <c r="K82" s="23"/>
      <c r="L82" s="25"/>
    </row>
    <row r="83" spans="1:19" ht="13.2">
      <c r="A83" s="40"/>
      <c r="B83" s="40"/>
      <c r="C83" s="40"/>
      <c r="D83" s="40"/>
      <c r="E83" s="25"/>
      <c r="F83" s="25"/>
      <c r="G83" s="40"/>
      <c r="H83" s="40"/>
      <c r="I83" s="40"/>
      <c r="J83" s="40"/>
      <c r="K83" s="40"/>
      <c r="L83" s="40"/>
    </row>
    <row r="84" spans="1:19" ht="13.2">
      <c r="A84" s="95">
        <v>24</v>
      </c>
      <c r="B84" s="95" t="s">
        <v>174</v>
      </c>
      <c r="C84" s="95" t="s">
        <v>175</v>
      </c>
      <c r="D84" s="23">
        <v>6</v>
      </c>
      <c r="E84" s="25">
        <v>8</v>
      </c>
      <c r="F84" s="57">
        <v>46276</v>
      </c>
      <c r="G84" s="23" t="s">
        <v>153</v>
      </c>
      <c r="H84" s="23">
        <v>6</v>
      </c>
      <c r="I84" s="23">
        <v>600</v>
      </c>
      <c r="J84" s="23">
        <v>25200</v>
      </c>
      <c r="K84" s="23">
        <v>3600</v>
      </c>
      <c r="L84" s="25">
        <v>3600</v>
      </c>
      <c r="O84" s="11">
        <f>SUM(H84*I84)</f>
        <v>3600</v>
      </c>
      <c r="P84" s="11">
        <f>SUM(O84*2)</f>
        <v>7200</v>
      </c>
      <c r="Q84" s="10">
        <f>SUM(L84)</f>
        <v>3600</v>
      </c>
      <c r="S84" s="11">
        <f t="shared" si="2"/>
        <v>3600</v>
      </c>
    </row>
    <row r="85" spans="1:19" ht="13.2">
      <c r="A85" s="96"/>
      <c r="B85" s="96"/>
      <c r="C85" s="96"/>
      <c r="D85" s="23"/>
      <c r="E85" s="25"/>
      <c r="F85" s="25"/>
      <c r="G85" s="23"/>
      <c r="H85" s="23"/>
      <c r="I85" s="23"/>
      <c r="J85" s="23"/>
      <c r="K85" s="23"/>
      <c r="L85" s="25"/>
    </row>
    <row r="86" spans="1:19" ht="13.2">
      <c r="A86" s="41"/>
      <c r="B86" s="41"/>
      <c r="C86" s="41"/>
      <c r="D86" s="41"/>
      <c r="E86" s="25"/>
      <c r="F86" s="25"/>
      <c r="G86" s="41"/>
      <c r="H86" s="41"/>
      <c r="I86" s="41"/>
      <c r="J86" s="41"/>
      <c r="K86" s="41"/>
      <c r="L86" s="41"/>
    </row>
    <row r="87" spans="1:19" ht="13.2">
      <c r="A87" s="23">
        <v>25</v>
      </c>
      <c r="B87" s="23" t="s">
        <v>176</v>
      </c>
      <c r="C87" s="23" t="s">
        <v>177</v>
      </c>
      <c r="D87" s="23">
        <v>6</v>
      </c>
      <c r="E87" s="25">
        <v>11</v>
      </c>
      <c r="F87" s="57">
        <v>46277</v>
      </c>
      <c r="G87" s="23" t="s">
        <v>42</v>
      </c>
      <c r="H87" s="23">
        <v>6</v>
      </c>
      <c r="I87" s="23">
        <v>900</v>
      </c>
      <c r="J87" s="23">
        <v>32400</v>
      </c>
      <c r="K87" s="23">
        <v>2500</v>
      </c>
      <c r="L87" s="25">
        <v>2500</v>
      </c>
      <c r="O87" s="11">
        <f>SUM(H87*I87)</f>
        <v>5400</v>
      </c>
      <c r="P87" s="11">
        <f>SUM(O87*2)</f>
        <v>10800</v>
      </c>
      <c r="Q87" s="10">
        <f>SUM(L87)</f>
        <v>2500</v>
      </c>
      <c r="S87" s="11">
        <f t="shared" si="2"/>
        <v>8300</v>
      </c>
    </row>
    <row r="88" spans="1:19" ht="13.2">
      <c r="A88" s="41"/>
      <c r="B88" s="41"/>
      <c r="C88" s="41"/>
      <c r="D88" s="41"/>
      <c r="E88" s="25"/>
      <c r="F88" s="25"/>
      <c r="G88" s="41"/>
      <c r="H88" s="41"/>
      <c r="I88" s="41"/>
      <c r="J88" s="41"/>
      <c r="K88" s="41"/>
      <c r="L88" s="41"/>
    </row>
    <row r="89" spans="1:19" ht="13.2">
      <c r="A89" s="23">
        <v>26</v>
      </c>
      <c r="B89" s="23" t="s">
        <v>178</v>
      </c>
      <c r="C89" s="23" t="s">
        <v>100</v>
      </c>
      <c r="D89" s="23">
        <v>6</v>
      </c>
      <c r="E89" s="25">
        <v>12</v>
      </c>
      <c r="F89" s="57">
        <v>46277</v>
      </c>
      <c r="G89" s="23" t="s">
        <v>42</v>
      </c>
      <c r="H89" s="23">
        <v>6</v>
      </c>
      <c r="I89" s="23">
        <v>900</v>
      </c>
      <c r="J89" s="23">
        <v>32400</v>
      </c>
      <c r="K89" s="23">
        <v>5000</v>
      </c>
      <c r="L89" s="25">
        <v>5000</v>
      </c>
      <c r="O89" s="11">
        <f>SUM(H89*I89)</f>
        <v>5400</v>
      </c>
      <c r="P89" s="11">
        <f>SUM(O89*2)</f>
        <v>10800</v>
      </c>
      <c r="Q89" s="10">
        <f>SUM(L89)</f>
        <v>5000</v>
      </c>
      <c r="S89" s="11">
        <f t="shared" si="2"/>
        <v>5800</v>
      </c>
    </row>
    <row r="90" spans="1:19" ht="13.2">
      <c r="A90" s="40"/>
      <c r="B90" s="40"/>
      <c r="C90" s="40"/>
      <c r="D90" s="40"/>
      <c r="E90" s="25"/>
      <c r="F90" s="25"/>
      <c r="G90" s="40"/>
      <c r="H90" s="40"/>
      <c r="I90" s="40"/>
      <c r="J90" s="40"/>
      <c r="K90" s="40"/>
      <c r="L90" s="40"/>
    </row>
    <row r="91" spans="1:19" ht="13.2">
      <c r="A91" s="95">
        <v>27</v>
      </c>
      <c r="B91" s="95" t="s">
        <v>179</v>
      </c>
      <c r="C91" s="95" t="s">
        <v>180</v>
      </c>
      <c r="D91" s="23">
        <v>18</v>
      </c>
      <c r="E91" s="25">
        <v>12</v>
      </c>
      <c r="F91" s="57">
        <v>46277</v>
      </c>
      <c r="G91" s="23" t="s">
        <v>42</v>
      </c>
      <c r="H91" s="23">
        <v>6</v>
      </c>
      <c r="I91" s="23">
        <v>850</v>
      </c>
      <c r="J91" s="23">
        <v>91800</v>
      </c>
      <c r="K91" s="23">
        <v>5000</v>
      </c>
      <c r="L91" s="25">
        <v>5000</v>
      </c>
      <c r="O91" s="11" cm="1">
        <f t="array" ref="O91">SUM(H91:H93*I91)</f>
        <v>15300</v>
      </c>
      <c r="P91" s="11">
        <f>SUM(O91*2)</f>
        <v>30600</v>
      </c>
      <c r="Q91" s="10">
        <f>SUM(L91)</f>
        <v>5000</v>
      </c>
      <c r="S91" s="11">
        <f t="shared" si="2"/>
        <v>25600</v>
      </c>
    </row>
    <row r="92" spans="1:19" ht="13.2">
      <c r="A92" s="105"/>
      <c r="B92" s="105"/>
      <c r="C92" s="105"/>
      <c r="D92" s="23"/>
      <c r="E92" s="25"/>
      <c r="F92" s="25"/>
      <c r="G92" s="23" t="s">
        <v>31</v>
      </c>
      <c r="H92" s="23">
        <v>6</v>
      </c>
      <c r="I92" s="23">
        <v>850</v>
      </c>
      <c r="J92" s="23"/>
      <c r="K92" s="23"/>
      <c r="L92" s="25"/>
    </row>
    <row r="93" spans="1:19" ht="13.2">
      <c r="A93" s="96"/>
      <c r="B93" s="96"/>
      <c r="C93" s="96"/>
      <c r="D93" s="23"/>
      <c r="E93" s="25"/>
      <c r="F93" s="25"/>
      <c r="G93" s="23" t="s">
        <v>76</v>
      </c>
      <c r="H93" s="23">
        <v>6</v>
      </c>
      <c r="I93" s="23">
        <v>850</v>
      </c>
      <c r="J93" s="23"/>
      <c r="K93" s="23"/>
      <c r="L93" s="25"/>
    </row>
    <row r="94" spans="1:19" ht="13.2">
      <c r="A94" s="42"/>
      <c r="B94" s="40"/>
      <c r="C94" s="40"/>
      <c r="D94" s="40"/>
      <c r="E94" s="25"/>
      <c r="F94" s="25"/>
      <c r="G94" s="40"/>
      <c r="H94" s="40"/>
      <c r="I94" s="40"/>
      <c r="J94" s="40"/>
      <c r="K94" s="40"/>
      <c r="L94" s="40"/>
    </row>
    <row r="95" spans="1:19" ht="13.2">
      <c r="A95" s="24">
        <v>28</v>
      </c>
      <c r="B95" s="23" t="s">
        <v>181</v>
      </c>
      <c r="C95" s="23" t="s">
        <v>182</v>
      </c>
      <c r="D95" s="23">
        <v>6</v>
      </c>
      <c r="E95" s="25">
        <v>10</v>
      </c>
      <c r="F95" s="57">
        <v>46282</v>
      </c>
      <c r="G95" s="23" t="s">
        <v>28</v>
      </c>
      <c r="H95" s="23">
        <v>6</v>
      </c>
      <c r="I95" s="23">
        <v>800</v>
      </c>
      <c r="J95" s="23">
        <v>28800</v>
      </c>
      <c r="K95" s="23">
        <v>4800</v>
      </c>
      <c r="L95" s="25">
        <v>4800</v>
      </c>
      <c r="O95" s="11">
        <f>SUM(H95*I95)</f>
        <v>4800</v>
      </c>
      <c r="P95" s="11">
        <f>SUM(O95*2)</f>
        <v>9600</v>
      </c>
      <c r="Q95" s="10">
        <f>SUM(L95)</f>
        <v>4800</v>
      </c>
      <c r="S95" s="11">
        <f t="shared" si="2"/>
        <v>4800</v>
      </c>
    </row>
    <row r="96" spans="1:19" ht="13.2">
      <c r="A96" s="42"/>
      <c r="B96" s="40"/>
      <c r="C96" s="40"/>
      <c r="D96" s="40"/>
      <c r="E96" s="25"/>
      <c r="F96" s="25"/>
      <c r="G96" s="40"/>
      <c r="H96" s="40"/>
      <c r="I96" s="40"/>
      <c r="J96" s="40"/>
      <c r="K96" s="40"/>
      <c r="L96" s="40"/>
    </row>
    <row r="97" spans="1:19" ht="13.2">
      <c r="A97" s="23">
        <v>29</v>
      </c>
      <c r="B97" s="23" t="s">
        <v>183</v>
      </c>
      <c r="C97" s="23" t="s">
        <v>182</v>
      </c>
      <c r="D97" s="23">
        <v>6</v>
      </c>
      <c r="E97" s="25">
        <v>11</v>
      </c>
      <c r="F97" s="57">
        <v>46284</v>
      </c>
      <c r="G97" s="23" t="s">
        <v>42</v>
      </c>
      <c r="H97" s="23">
        <v>6</v>
      </c>
      <c r="I97" s="23">
        <v>900</v>
      </c>
      <c r="J97" s="23">
        <v>43200</v>
      </c>
      <c r="K97" s="23">
        <v>5000</v>
      </c>
      <c r="L97" s="25">
        <v>5000</v>
      </c>
      <c r="O97" s="11">
        <f>SUM(H97*I97)</f>
        <v>5400</v>
      </c>
      <c r="P97" s="11">
        <f>SUM(O97*2)</f>
        <v>10800</v>
      </c>
      <c r="Q97" s="10">
        <f>SUM(L97)</f>
        <v>5000</v>
      </c>
      <c r="S97" s="11">
        <f t="shared" si="2"/>
        <v>5800</v>
      </c>
    </row>
    <row r="98" spans="1:19" ht="13.8" thickBot="1">
      <c r="A98" s="40"/>
      <c r="B98" s="40"/>
      <c r="C98" s="40"/>
      <c r="D98" s="40"/>
      <c r="E98" s="25"/>
      <c r="F98" s="25"/>
      <c r="G98" s="40"/>
      <c r="H98" s="40"/>
      <c r="I98" s="40"/>
      <c r="J98" s="40"/>
      <c r="K98" s="40"/>
      <c r="L98" s="40"/>
    </row>
    <row r="99" spans="1:19" ht="13.2">
      <c r="A99" s="95">
        <v>30</v>
      </c>
      <c r="B99" s="95" t="s">
        <v>184</v>
      </c>
      <c r="C99" s="95" t="s">
        <v>185</v>
      </c>
      <c r="D99" s="95">
        <v>8</v>
      </c>
      <c r="E99" s="25">
        <v>10</v>
      </c>
      <c r="F99" s="59">
        <v>46287</v>
      </c>
      <c r="G99" s="23" t="s">
        <v>42</v>
      </c>
      <c r="H99" s="23">
        <v>4</v>
      </c>
      <c r="I99" s="95">
        <v>800</v>
      </c>
      <c r="J99" s="95">
        <v>36000</v>
      </c>
      <c r="K99" s="95">
        <v>5000</v>
      </c>
      <c r="L99" s="25"/>
      <c r="O99" s="11" cm="1">
        <f t="array" ref="O99">SUM(H99:H101*I99)</f>
        <v>9600</v>
      </c>
      <c r="P99" s="11">
        <f>SUM(O99*1)</f>
        <v>9600</v>
      </c>
      <c r="Q99" s="10">
        <f>SUM(L100)</f>
        <v>5000</v>
      </c>
      <c r="S99" s="11">
        <f t="shared" si="2"/>
        <v>4600</v>
      </c>
    </row>
    <row r="100" spans="1:19" ht="13.2">
      <c r="A100" s="105"/>
      <c r="B100" s="105"/>
      <c r="C100" s="105"/>
      <c r="D100" s="105"/>
      <c r="E100" s="43"/>
      <c r="F100" s="60"/>
      <c r="G100" s="23" t="s">
        <v>76</v>
      </c>
      <c r="H100" s="23">
        <v>4</v>
      </c>
      <c r="I100" s="105"/>
      <c r="J100" s="105"/>
      <c r="K100" s="105"/>
      <c r="L100" s="25">
        <v>5000</v>
      </c>
    </row>
    <row r="101" spans="1:19" ht="13.8" thickBot="1">
      <c r="A101" s="96"/>
      <c r="B101" s="96"/>
      <c r="C101" s="96"/>
      <c r="D101" s="96"/>
      <c r="E101" s="44"/>
      <c r="F101" s="61"/>
      <c r="G101" s="23" t="s">
        <v>31</v>
      </c>
      <c r="H101" s="23">
        <v>4</v>
      </c>
      <c r="I101" s="96"/>
      <c r="J101" s="96"/>
      <c r="K101" s="96"/>
      <c r="L101" s="25"/>
    </row>
    <row r="102" spans="1:19" ht="13.2">
      <c r="A102" s="40"/>
      <c r="B102" s="40"/>
      <c r="C102" s="40"/>
      <c r="D102" s="40"/>
      <c r="E102" s="25"/>
      <c r="F102" s="25"/>
      <c r="G102" s="40"/>
      <c r="H102" s="40"/>
      <c r="I102" s="40"/>
      <c r="J102" s="40"/>
      <c r="K102" s="40"/>
      <c r="L102" s="40"/>
    </row>
    <row r="103" spans="1:19" ht="13.2">
      <c r="A103" s="95">
        <v>31</v>
      </c>
      <c r="B103" s="95" t="s">
        <v>186</v>
      </c>
      <c r="C103" s="95" t="s">
        <v>187</v>
      </c>
      <c r="D103" s="95">
        <v>12</v>
      </c>
      <c r="E103" s="25">
        <v>10</v>
      </c>
      <c r="F103" s="62">
        <v>46289</v>
      </c>
      <c r="G103" s="23" t="s">
        <v>42</v>
      </c>
      <c r="H103" s="23">
        <v>4</v>
      </c>
      <c r="I103" s="95">
        <v>800</v>
      </c>
      <c r="J103" s="95">
        <v>12000</v>
      </c>
      <c r="K103" s="95">
        <v>3000</v>
      </c>
      <c r="L103" s="25">
        <v>3000</v>
      </c>
      <c r="O103" s="11" cm="1">
        <f t="array" ref="O103">SUM(H103:H105*I103)</f>
        <v>9600</v>
      </c>
      <c r="P103" s="11">
        <f>SUM(O103*1)</f>
        <v>9600</v>
      </c>
      <c r="Q103" s="10">
        <f>SUM(L103)</f>
        <v>3000</v>
      </c>
      <c r="S103" s="11">
        <f t="shared" si="2"/>
        <v>6600</v>
      </c>
    </row>
    <row r="104" spans="1:19" ht="13.2">
      <c r="A104" s="105"/>
      <c r="B104" s="105"/>
      <c r="C104" s="105"/>
      <c r="D104" s="105"/>
      <c r="E104" s="43"/>
      <c r="F104" s="43"/>
      <c r="G104" s="23" t="s">
        <v>31</v>
      </c>
      <c r="H104" s="23">
        <v>4</v>
      </c>
      <c r="I104" s="105"/>
      <c r="J104" s="105"/>
      <c r="K104" s="105"/>
      <c r="L104" s="25"/>
    </row>
    <row r="105" spans="1:19" ht="13.2">
      <c r="A105" s="96"/>
      <c r="B105" s="96"/>
      <c r="C105" s="96"/>
      <c r="D105" s="96"/>
      <c r="E105" s="44"/>
      <c r="F105" s="44"/>
      <c r="G105" s="23" t="s">
        <v>28</v>
      </c>
      <c r="H105" s="23">
        <v>4</v>
      </c>
      <c r="I105" s="96"/>
      <c r="J105" s="96"/>
      <c r="K105" s="96"/>
      <c r="L105" s="25"/>
    </row>
    <row r="106" spans="1:19" ht="13.2">
      <c r="A106" s="36"/>
      <c r="B106" s="36"/>
      <c r="C106" s="36"/>
      <c r="D106" s="36"/>
      <c r="E106" s="25"/>
      <c r="F106" s="25"/>
      <c r="G106" s="40"/>
      <c r="H106" s="36"/>
      <c r="I106" s="36"/>
      <c r="J106" s="45"/>
      <c r="K106" s="36"/>
      <c r="L106" s="36"/>
    </row>
    <row r="107" spans="1:19" ht="13.2">
      <c r="A107" s="95">
        <v>32</v>
      </c>
      <c r="B107" s="95" t="s">
        <v>188</v>
      </c>
      <c r="C107" s="95" t="s">
        <v>171</v>
      </c>
      <c r="D107" s="95">
        <v>6</v>
      </c>
      <c r="E107" s="98">
        <v>11</v>
      </c>
      <c r="F107" s="62">
        <v>46289</v>
      </c>
      <c r="G107" s="95" t="s">
        <v>42</v>
      </c>
      <c r="H107" s="95">
        <v>6</v>
      </c>
      <c r="I107" s="95">
        <v>900</v>
      </c>
      <c r="J107" s="101">
        <v>32400</v>
      </c>
      <c r="K107" s="95">
        <v>5000</v>
      </c>
      <c r="L107" s="25">
        <v>5000</v>
      </c>
      <c r="O107" s="11">
        <f>SUM(H107*I107)</f>
        <v>5400</v>
      </c>
      <c r="P107" s="11">
        <f>SUM(O107*1)</f>
        <v>5400</v>
      </c>
      <c r="Q107" s="10">
        <f>SUM(L107)</f>
        <v>5000</v>
      </c>
      <c r="S107" s="11">
        <f t="shared" si="2"/>
        <v>400</v>
      </c>
    </row>
    <row r="108" spans="1:19" ht="13.2">
      <c r="A108" s="105"/>
      <c r="B108" s="105"/>
      <c r="C108" s="105"/>
      <c r="D108" s="105"/>
      <c r="E108" s="105"/>
      <c r="F108" s="28"/>
      <c r="G108" s="105"/>
      <c r="H108" s="105"/>
      <c r="I108" s="105"/>
      <c r="J108" s="105"/>
      <c r="K108" s="105"/>
      <c r="L108" s="25"/>
    </row>
    <row r="109" spans="1:19" ht="13.2">
      <c r="A109" s="96"/>
      <c r="B109" s="96"/>
      <c r="C109" s="96"/>
      <c r="D109" s="96"/>
      <c r="E109" s="96"/>
      <c r="F109" s="29"/>
      <c r="G109" s="96"/>
      <c r="H109" s="96"/>
      <c r="I109" s="96"/>
      <c r="J109" s="96"/>
      <c r="K109" s="96"/>
      <c r="L109" s="25"/>
    </row>
    <row r="110" spans="1:19" ht="13.2">
      <c r="A110" s="36"/>
      <c r="B110" s="36"/>
      <c r="C110" s="36"/>
      <c r="D110" s="36"/>
      <c r="E110" s="37"/>
      <c r="F110" s="37"/>
      <c r="G110" s="36"/>
      <c r="H110" s="36"/>
      <c r="I110" s="36"/>
      <c r="J110" s="36"/>
      <c r="K110" s="36"/>
      <c r="L110" s="36"/>
    </row>
    <row r="111" spans="1:19" ht="13.2">
      <c r="A111" s="95">
        <v>33</v>
      </c>
      <c r="B111" s="95" t="s">
        <v>189</v>
      </c>
      <c r="C111" s="95" t="s">
        <v>145</v>
      </c>
      <c r="D111" s="95">
        <v>18</v>
      </c>
      <c r="E111" s="25">
        <v>10</v>
      </c>
      <c r="F111" s="62">
        <v>46290</v>
      </c>
      <c r="G111" s="23" t="s">
        <v>42</v>
      </c>
      <c r="H111" s="23">
        <v>4</v>
      </c>
      <c r="I111" s="95">
        <v>750</v>
      </c>
      <c r="J111" s="95">
        <v>22500</v>
      </c>
      <c r="K111" s="95">
        <v>3000</v>
      </c>
      <c r="L111" s="25">
        <v>3000</v>
      </c>
      <c r="O111" s="11" cm="1">
        <f t="array" ref="O111">SUM(H111:H114*I111)</f>
        <v>13500</v>
      </c>
      <c r="P111" s="11">
        <f>SUM(O111*1)</f>
        <v>13500</v>
      </c>
      <c r="Q111" s="10">
        <f>SUM(L111)</f>
        <v>3000</v>
      </c>
      <c r="S111" s="11">
        <f t="shared" si="2"/>
        <v>10500</v>
      </c>
    </row>
    <row r="112" spans="1:19" ht="13.2">
      <c r="A112" s="105"/>
      <c r="B112" s="105"/>
      <c r="C112" s="105"/>
      <c r="D112" s="105"/>
      <c r="E112" s="43"/>
      <c r="F112" s="43"/>
      <c r="G112" s="23" t="s">
        <v>28</v>
      </c>
      <c r="H112" s="23">
        <v>6</v>
      </c>
      <c r="I112" s="105"/>
      <c r="J112" s="105"/>
      <c r="K112" s="105"/>
      <c r="L112" s="25"/>
    </row>
    <row r="113" spans="1:19" ht="13.2">
      <c r="A113" s="105"/>
      <c r="B113" s="105"/>
      <c r="C113" s="105"/>
      <c r="D113" s="105"/>
      <c r="E113" s="43"/>
      <c r="F113" s="43"/>
      <c r="G113" s="23" t="s">
        <v>76</v>
      </c>
      <c r="H113" s="23">
        <v>4</v>
      </c>
      <c r="I113" s="105"/>
      <c r="J113" s="105"/>
      <c r="K113" s="105"/>
      <c r="L113" s="25"/>
    </row>
    <row r="114" spans="1:19" ht="13.2">
      <c r="A114" s="96"/>
      <c r="B114" s="96"/>
      <c r="C114" s="96"/>
      <c r="D114" s="96"/>
      <c r="E114" s="44"/>
      <c r="F114" s="44"/>
      <c r="G114" s="23" t="s">
        <v>31</v>
      </c>
      <c r="H114" s="23">
        <v>4</v>
      </c>
      <c r="I114" s="96"/>
      <c r="J114" s="96"/>
      <c r="K114" s="96"/>
      <c r="L114" s="25"/>
    </row>
    <row r="115" spans="1:19" ht="13.2">
      <c r="A115" s="36"/>
      <c r="B115" s="36"/>
      <c r="C115" s="36"/>
      <c r="D115" s="36"/>
      <c r="E115" s="27"/>
      <c r="F115" s="27"/>
      <c r="G115" s="40"/>
      <c r="H115" s="36"/>
      <c r="I115" s="36"/>
      <c r="J115" s="36"/>
      <c r="K115" s="36"/>
      <c r="L115" s="36"/>
    </row>
    <row r="116" spans="1:19" ht="13.2">
      <c r="A116" s="23">
        <v>34</v>
      </c>
      <c r="B116" s="23" t="s">
        <v>190</v>
      </c>
      <c r="C116" s="23" t="s">
        <v>191</v>
      </c>
      <c r="D116" s="23">
        <v>6</v>
      </c>
      <c r="E116" s="25">
        <v>10</v>
      </c>
      <c r="F116" s="57">
        <v>46291</v>
      </c>
      <c r="G116" s="23" t="s">
        <v>28</v>
      </c>
      <c r="H116" s="23">
        <v>6</v>
      </c>
      <c r="I116" s="23">
        <v>800</v>
      </c>
      <c r="J116" s="23">
        <v>28800</v>
      </c>
      <c r="K116" s="23">
        <v>5000</v>
      </c>
      <c r="L116" s="25">
        <v>5000</v>
      </c>
      <c r="O116" s="11">
        <f>SUM(H116*I116)</f>
        <v>4800</v>
      </c>
      <c r="P116" s="11">
        <f>SUM(O116*1)</f>
        <v>4800</v>
      </c>
      <c r="Q116" s="10">
        <f>SUM(L116)</f>
        <v>5000</v>
      </c>
    </row>
    <row r="117" spans="1:19" ht="13.2">
      <c r="A117" s="36"/>
      <c r="B117" s="36"/>
      <c r="C117" s="36"/>
      <c r="D117" s="36"/>
      <c r="E117" s="37"/>
      <c r="F117" s="37"/>
      <c r="G117" s="36"/>
      <c r="H117" s="36"/>
      <c r="I117" s="36"/>
      <c r="J117" s="36"/>
      <c r="K117" s="36"/>
      <c r="L117" s="36"/>
    </row>
    <row r="118" spans="1:19" ht="13.2">
      <c r="A118" s="23">
        <v>35</v>
      </c>
      <c r="B118" s="23" t="s">
        <v>192</v>
      </c>
      <c r="C118" s="23" t="s">
        <v>100</v>
      </c>
      <c r="D118" s="23">
        <v>4</v>
      </c>
      <c r="E118" s="25">
        <v>9</v>
      </c>
      <c r="F118" s="57">
        <v>46291</v>
      </c>
      <c r="G118" s="23" t="s">
        <v>193</v>
      </c>
      <c r="H118" s="23">
        <v>4</v>
      </c>
      <c r="I118" s="23">
        <v>700</v>
      </c>
      <c r="J118" s="23">
        <v>23100</v>
      </c>
      <c r="K118" s="23">
        <v>5000</v>
      </c>
      <c r="L118" s="25">
        <v>5000</v>
      </c>
      <c r="O118" s="11">
        <f>SUM(H118*I118)</f>
        <v>2800</v>
      </c>
      <c r="P118" s="11">
        <f>SUM(O118*1)</f>
        <v>2800</v>
      </c>
      <c r="Q118" s="10">
        <f>SUM(L118)</f>
        <v>5000</v>
      </c>
    </row>
    <row r="119" spans="1:19" ht="13.8" thickBot="1">
      <c r="A119" s="36"/>
      <c r="B119" s="36"/>
      <c r="C119" s="36"/>
      <c r="D119" s="36"/>
      <c r="E119" s="37"/>
      <c r="F119" s="37"/>
      <c r="G119" s="36"/>
      <c r="H119" s="36"/>
      <c r="I119" s="36"/>
      <c r="J119" s="36"/>
      <c r="K119" s="36"/>
      <c r="L119" s="36"/>
    </row>
    <row r="120" spans="1:19" ht="13.2">
      <c r="A120" s="95">
        <v>36</v>
      </c>
      <c r="B120" s="95" t="s">
        <v>194</v>
      </c>
      <c r="C120" s="95" t="s">
        <v>145</v>
      </c>
      <c r="D120" s="95">
        <v>8</v>
      </c>
      <c r="E120" s="98">
        <v>9</v>
      </c>
      <c r="F120" s="99">
        <v>46291</v>
      </c>
      <c r="G120" s="23" t="s">
        <v>31</v>
      </c>
      <c r="H120" s="23">
        <v>4</v>
      </c>
      <c r="I120" s="95">
        <v>700</v>
      </c>
      <c r="J120" s="101">
        <v>33600</v>
      </c>
      <c r="K120" s="95">
        <v>5600</v>
      </c>
      <c r="L120" s="25">
        <v>5600</v>
      </c>
      <c r="O120" s="11" cm="1">
        <f t="array" ref="O120">SUM(H120:H121*I120)</f>
        <v>5600</v>
      </c>
      <c r="P120" s="11">
        <v>13500</v>
      </c>
      <c r="Q120" s="10">
        <f>SUM(L120)</f>
        <v>5600</v>
      </c>
      <c r="S120" s="11">
        <f t="shared" si="2"/>
        <v>7900</v>
      </c>
    </row>
    <row r="121" spans="1:19" ht="13.8" thickBot="1">
      <c r="A121" s="96"/>
      <c r="B121" s="96"/>
      <c r="C121" s="96"/>
      <c r="D121" s="96"/>
      <c r="E121" s="96"/>
      <c r="F121" s="100"/>
      <c r="G121" s="23" t="s">
        <v>42</v>
      </c>
      <c r="H121" s="23">
        <v>4</v>
      </c>
      <c r="I121" s="96"/>
      <c r="J121" s="96"/>
      <c r="K121" s="96"/>
      <c r="L121" s="25"/>
    </row>
    <row r="122" spans="1:19" ht="13.8" thickBot="1">
      <c r="A122" s="36"/>
      <c r="B122" s="36"/>
      <c r="C122" s="36"/>
      <c r="D122" s="36"/>
      <c r="E122" s="37"/>
      <c r="F122" s="37"/>
      <c r="G122" s="36"/>
      <c r="H122" s="36"/>
      <c r="I122" s="36"/>
      <c r="J122" s="36"/>
      <c r="K122" s="36"/>
      <c r="L122" s="36"/>
    </row>
    <row r="123" spans="1:19" ht="13.2">
      <c r="A123" s="98">
        <v>36</v>
      </c>
      <c r="B123" s="95" t="s">
        <v>195</v>
      </c>
      <c r="C123" s="98" t="s">
        <v>196</v>
      </c>
      <c r="D123" s="95">
        <v>10</v>
      </c>
      <c r="E123" s="98">
        <v>9</v>
      </c>
      <c r="F123" s="99">
        <v>46291</v>
      </c>
      <c r="G123" s="23" t="s">
        <v>31</v>
      </c>
      <c r="H123" s="23">
        <v>4</v>
      </c>
      <c r="I123" s="95">
        <v>700</v>
      </c>
      <c r="J123" s="101">
        <v>42700</v>
      </c>
      <c r="K123" s="95">
        <v>5000</v>
      </c>
      <c r="L123" s="25">
        <v>5000</v>
      </c>
      <c r="O123" s="11" cm="1">
        <f t="array" ref="O123">SUM(H123:H124*I123)</f>
        <v>7000</v>
      </c>
      <c r="P123" s="11">
        <f>SUM(O123*1)</f>
        <v>7000</v>
      </c>
      <c r="Q123" s="10">
        <f>SUM(L123)</f>
        <v>5000</v>
      </c>
      <c r="S123" s="11">
        <f t="shared" si="2"/>
        <v>2000</v>
      </c>
    </row>
    <row r="124" spans="1:19" ht="13.8" thickBot="1">
      <c r="A124" s="96"/>
      <c r="B124" s="96"/>
      <c r="C124" s="96"/>
      <c r="D124" s="96"/>
      <c r="E124" s="96"/>
      <c r="F124" s="100"/>
      <c r="G124" s="23" t="s">
        <v>28</v>
      </c>
      <c r="H124" s="23">
        <v>6</v>
      </c>
      <c r="I124" s="96"/>
      <c r="J124" s="96"/>
      <c r="K124" s="96"/>
      <c r="L124" s="25"/>
    </row>
    <row r="125" spans="1:19" ht="13.8" thickBot="1">
      <c r="A125" s="46"/>
      <c r="B125" s="46"/>
      <c r="C125" s="46"/>
      <c r="D125" s="46"/>
      <c r="E125" s="37"/>
      <c r="F125" s="37"/>
      <c r="G125" s="46"/>
      <c r="H125" s="46"/>
      <c r="I125" s="46"/>
      <c r="J125" s="46"/>
      <c r="K125" s="46"/>
      <c r="L125" s="46"/>
    </row>
    <row r="126" spans="1:19" ht="13.2">
      <c r="A126" s="95">
        <v>38</v>
      </c>
      <c r="B126" s="95" t="s">
        <v>197</v>
      </c>
      <c r="C126" s="95" t="s">
        <v>191</v>
      </c>
      <c r="D126" s="95">
        <v>6</v>
      </c>
      <c r="E126" s="98">
        <v>10</v>
      </c>
      <c r="F126" s="99">
        <v>46291</v>
      </c>
      <c r="G126" s="95" t="s">
        <v>28</v>
      </c>
      <c r="H126" s="95">
        <v>6</v>
      </c>
      <c r="I126" s="95">
        <v>800</v>
      </c>
      <c r="J126" s="95">
        <v>28800</v>
      </c>
      <c r="K126" s="95">
        <v>4000</v>
      </c>
      <c r="L126" s="25">
        <v>4000</v>
      </c>
      <c r="O126" s="11">
        <f>SUM(H126*I126)</f>
        <v>4800</v>
      </c>
      <c r="P126" s="11">
        <f>SUM(O126*1)</f>
        <v>4800</v>
      </c>
      <c r="Q126" s="10">
        <f>SUM(L126)</f>
        <v>4000</v>
      </c>
      <c r="S126" s="11">
        <f t="shared" si="2"/>
        <v>800</v>
      </c>
    </row>
    <row r="127" spans="1:19" ht="13.8" thickBot="1">
      <c r="A127" s="96"/>
      <c r="B127" s="96"/>
      <c r="C127" s="96"/>
      <c r="D127" s="96"/>
      <c r="E127" s="96"/>
      <c r="F127" s="100"/>
      <c r="G127" s="96"/>
      <c r="H127" s="96"/>
      <c r="I127" s="96"/>
      <c r="J127" s="96"/>
      <c r="K127" s="96"/>
      <c r="L127" s="25"/>
    </row>
    <row r="128" spans="1:19" ht="13.8" thickBot="1">
      <c r="A128" s="36"/>
      <c r="B128" s="36"/>
      <c r="C128" s="36"/>
      <c r="D128" s="36"/>
      <c r="E128" s="37"/>
      <c r="F128" s="37"/>
      <c r="G128" s="36"/>
      <c r="H128" s="36"/>
      <c r="I128" s="36"/>
      <c r="J128" s="36"/>
      <c r="K128" s="36"/>
      <c r="L128" s="36"/>
    </row>
    <row r="129" spans="1:19" ht="13.2">
      <c r="A129" s="95">
        <v>39</v>
      </c>
      <c r="B129" s="95" t="s">
        <v>198</v>
      </c>
      <c r="C129" s="95" t="s">
        <v>100</v>
      </c>
      <c r="D129" s="95">
        <v>6</v>
      </c>
      <c r="E129" s="98">
        <v>12</v>
      </c>
      <c r="F129" s="99">
        <v>46300</v>
      </c>
      <c r="G129" s="95" t="s">
        <v>42</v>
      </c>
      <c r="H129" s="95">
        <v>6</v>
      </c>
      <c r="I129" s="95">
        <v>900</v>
      </c>
      <c r="J129" s="95">
        <v>36000</v>
      </c>
      <c r="K129" s="95">
        <v>5400</v>
      </c>
      <c r="L129" s="25">
        <v>5400</v>
      </c>
      <c r="O129" s="11">
        <f>SUM(H129*I129)</f>
        <v>5400</v>
      </c>
      <c r="P129" s="11">
        <f>SUM(O129*1)</f>
        <v>5400</v>
      </c>
      <c r="Q129" s="10">
        <f>SUM(L129)</f>
        <v>5400</v>
      </c>
      <c r="S129" s="11">
        <f t="shared" si="2"/>
        <v>0</v>
      </c>
    </row>
    <row r="130" spans="1:19" ht="13.8" thickBot="1">
      <c r="A130" s="96"/>
      <c r="B130" s="96"/>
      <c r="C130" s="96"/>
      <c r="D130" s="96"/>
      <c r="E130" s="96"/>
      <c r="F130" s="100"/>
      <c r="G130" s="96"/>
      <c r="H130" s="96"/>
      <c r="I130" s="96"/>
      <c r="J130" s="96"/>
      <c r="K130" s="96"/>
      <c r="L130" s="25"/>
    </row>
    <row r="131" spans="1:19" ht="13.8" thickBot="1">
      <c r="A131" s="36"/>
      <c r="B131" s="36"/>
      <c r="C131" s="40"/>
      <c r="D131" s="40"/>
      <c r="E131" s="25"/>
      <c r="F131" s="25"/>
      <c r="G131" s="40"/>
      <c r="H131" s="40"/>
      <c r="I131" s="36"/>
      <c r="J131" s="36"/>
      <c r="K131" s="36"/>
      <c r="L131" s="36"/>
    </row>
    <row r="132" spans="1:19" ht="13.2">
      <c r="A132" s="95">
        <v>40</v>
      </c>
      <c r="B132" s="95" t="s">
        <v>199</v>
      </c>
      <c r="C132" s="95" t="s">
        <v>100</v>
      </c>
      <c r="D132" s="95">
        <v>6</v>
      </c>
      <c r="E132" s="98">
        <v>8</v>
      </c>
      <c r="F132" s="99">
        <v>46302</v>
      </c>
      <c r="G132" s="95" t="s">
        <v>28</v>
      </c>
      <c r="H132" s="95">
        <v>6</v>
      </c>
      <c r="I132" s="95">
        <v>600</v>
      </c>
      <c r="J132" s="95">
        <v>27600</v>
      </c>
      <c r="K132" s="95">
        <v>5000</v>
      </c>
      <c r="L132" s="25">
        <v>5000</v>
      </c>
      <c r="O132" s="11">
        <f>SUM(H132*I132)</f>
        <v>3600</v>
      </c>
      <c r="P132" s="11">
        <f>SUM(O132*1)</f>
        <v>3600</v>
      </c>
      <c r="Q132" s="10">
        <f>SUM(L132)</f>
        <v>5000</v>
      </c>
    </row>
    <row r="133" spans="1:19" ht="13.8" thickBot="1">
      <c r="A133" s="96"/>
      <c r="B133" s="96"/>
      <c r="C133" s="96"/>
      <c r="D133" s="96"/>
      <c r="E133" s="96"/>
      <c r="F133" s="100"/>
      <c r="G133" s="96"/>
      <c r="H133" s="96"/>
      <c r="I133" s="96"/>
      <c r="J133" s="96"/>
      <c r="K133" s="96"/>
      <c r="L133" s="25"/>
    </row>
    <row r="134" spans="1:19" ht="13.8" thickBot="1">
      <c r="A134" s="8"/>
      <c r="B134" s="8"/>
      <c r="C134" s="8"/>
      <c r="D134" s="8"/>
      <c r="E134" s="5"/>
      <c r="F134" s="5"/>
      <c r="G134" s="8"/>
      <c r="H134" s="8"/>
      <c r="I134" s="8"/>
      <c r="J134" s="8"/>
      <c r="K134" s="8"/>
      <c r="L134" s="8"/>
    </row>
    <row r="135" spans="1:19" ht="13.2">
      <c r="A135" s="95">
        <v>41</v>
      </c>
      <c r="B135" s="95" t="s">
        <v>216</v>
      </c>
      <c r="C135" s="95" t="s">
        <v>217</v>
      </c>
      <c r="D135" s="95">
        <v>4</v>
      </c>
      <c r="E135" s="98">
        <v>9</v>
      </c>
      <c r="F135" s="99">
        <v>46274</v>
      </c>
      <c r="G135" s="23" t="s">
        <v>193</v>
      </c>
      <c r="H135" s="23">
        <v>4</v>
      </c>
      <c r="I135" s="95">
        <v>700</v>
      </c>
      <c r="J135" s="101">
        <v>16800</v>
      </c>
      <c r="K135" s="95">
        <v>2500</v>
      </c>
      <c r="L135" s="25">
        <v>2500</v>
      </c>
      <c r="O135" s="11" cm="1">
        <f t="array" ref="O135">SUM(H135:H136*I135)</f>
        <v>2800</v>
      </c>
      <c r="P135" s="11">
        <v>13500</v>
      </c>
      <c r="Q135" s="10">
        <f>SUM(L135)</f>
        <v>2500</v>
      </c>
      <c r="S135" s="11">
        <f t="shared" ref="S135:S144" si="3">SUM(P135-Q135)</f>
        <v>11000</v>
      </c>
    </row>
    <row r="136" spans="1:19" s="13" customFormat="1" ht="16.2" thickBot="1">
      <c r="A136" s="96"/>
      <c r="B136" s="96"/>
      <c r="C136" s="96"/>
      <c r="D136" s="96"/>
      <c r="E136" s="96"/>
      <c r="F136" s="100"/>
      <c r="G136" s="23"/>
      <c r="H136" s="23"/>
      <c r="I136" s="96"/>
      <c r="J136" s="96"/>
      <c r="K136" s="96"/>
      <c r="L136" s="25"/>
      <c r="M136"/>
      <c r="N136"/>
      <c r="O136" s="11"/>
      <c r="P136" s="11"/>
      <c r="Q136" s="10"/>
      <c r="R136"/>
      <c r="S136" s="11"/>
    </row>
    <row r="137" spans="1:19" ht="13.8" thickBot="1">
      <c r="A137" s="36"/>
      <c r="B137" s="36"/>
      <c r="C137" s="36"/>
      <c r="D137" s="36"/>
      <c r="E137" s="37"/>
      <c r="F137" s="37"/>
      <c r="G137" s="36"/>
      <c r="H137" s="36"/>
      <c r="I137" s="36"/>
      <c r="J137" s="36"/>
      <c r="K137" s="36"/>
      <c r="L137" s="36"/>
    </row>
    <row r="138" spans="1:19" ht="13.2">
      <c r="A138" s="98">
        <v>42</v>
      </c>
      <c r="B138" s="95" t="s">
        <v>218</v>
      </c>
      <c r="C138" s="98" t="s">
        <v>219</v>
      </c>
      <c r="D138" s="95">
        <v>4</v>
      </c>
      <c r="E138" s="98">
        <v>10</v>
      </c>
      <c r="F138" s="99">
        <v>46304</v>
      </c>
      <c r="G138" s="23" t="s">
        <v>193</v>
      </c>
      <c r="H138" s="23">
        <v>4</v>
      </c>
      <c r="I138" s="95">
        <v>800</v>
      </c>
      <c r="J138" s="101">
        <v>19200</v>
      </c>
      <c r="K138" s="95">
        <v>3000</v>
      </c>
      <c r="L138" s="25">
        <v>3000</v>
      </c>
      <c r="O138" s="11" cm="1">
        <f t="array" ref="O138">SUM(H138:H139*I138)</f>
        <v>3200</v>
      </c>
      <c r="P138" s="11">
        <f>SUM(O138*1)</f>
        <v>3200</v>
      </c>
      <c r="Q138" s="10">
        <f>SUM(L138)</f>
        <v>3000</v>
      </c>
      <c r="S138" s="11">
        <f t="shared" si="3"/>
        <v>200</v>
      </c>
    </row>
    <row r="139" spans="1:19" ht="13.8" thickBot="1">
      <c r="A139" s="96"/>
      <c r="B139" s="96"/>
      <c r="C139" s="96"/>
      <c r="D139" s="96"/>
      <c r="E139" s="96"/>
      <c r="F139" s="100"/>
      <c r="G139" s="23"/>
      <c r="H139" s="23"/>
      <c r="I139" s="96"/>
      <c r="J139" s="96"/>
      <c r="K139" s="96"/>
      <c r="L139" s="25"/>
    </row>
    <row r="140" spans="1:19" ht="13.8" thickBot="1">
      <c r="A140" s="46"/>
      <c r="B140" s="46"/>
      <c r="C140" s="46"/>
      <c r="D140" s="46"/>
      <c r="E140" s="37"/>
      <c r="F140" s="37"/>
      <c r="G140" s="46"/>
      <c r="H140" s="46"/>
      <c r="I140" s="46"/>
      <c r="J140" s="46"/>
      <c r="K140" s="46"/>
      <c r="L140" s="46"/>
    </row>
    <row r="141" spans="1:19" ht="13.2">
      <c r="A141" s="95">
        <v>43</v>
      </c>
      <c r="B141" s="95" t="s">
        <v>220</v>
      </c>
      <c r="C141" s="95" t="s">
        <v>219</v>
      </c>
      <c r="D141" s="95">
        <v>6</v>
      </c>
      <c r="E141" s="98">
        <v>8</v>
      </c>
      <c r="F141" s="99">
        <v>46307</v>
      </c>
      <c r="G141" s="95" t="s">
        <v>28</v>
      </c>
      <c r="H141" s="95">
        <v>10</v>
      </c>
      <c r="I141" s="95">
        <v>600</v>
      </c>
      <c r="J141" s="141">
        <v>27600</v>
      </c>
      <c r="K141" s="95">
        <v>5000</v>
      </c>
      <c r="L141" s="25">
        <v>5000</v>
      </c>
      <c r="O141" s="11">
        <f>SUM(H141*I141)</f>
        <v>6000</v>
      </c>
      <c r="P141" s="11">
        <f>SUM(O141*1)</f>
        <v>6000</v>
      </c>
      <c r="Q141" s="10">
        <f>SUM(L141)</f>
        <v>5000</v>
      </c>
    </row>
    <row r="142" spans="1:19" ht="13.8" thickBot="1">
      <c r="A142" s="96"/>
      <c r="B142" s="96"/>
      <c r="C142" s="96"/>
      <c r="D142" s="96"/>
      <c r="E142" s="96"/>
      <c r="F142" s="100"/>
      <c r="G142" s="96"/>
      <c r="H142" s="96"/>
      <c r="I142" s="96"/>
      <c r="J142" s="142"/>
      <c r="K142" s="96"/>
      <c r="L142" s="25"/>
    </row>
    <row r="143" spans="1:19" ht="13.8" thickBot="1">
      <c r="A143" s="36"/>
      <c r="B143" s="36"/>
      <c r="C143" s="36"/>
      <c r="D143" s="36"/>
      <c r="E143" s="37"/>
      <c r="F143" s="37"/>
      <c r="G143" s="36"/>
      <c r="H143" s="36"/>
      <c r="I143" s="36"/>
      <c r="J143" s="36"/>
      <c r="K143" s="36"/>
      <c r="L143" s="36"/>
    </row>
    <row r="144" spans="1:19" ht="13.2">
      <c r="A144" s="95">
        <v>44</v>
      </c>
      <c r="B144" s="95" t="s">
        <v>221</v>
      </c>
      <c r="C144" s="95" t="s">
        <v>222</v>
      </c>
      <c r="D144" s="95">
        <v>6</v>
      </c>
      <c r="E144" s="98">
        <v>9</v>
      </c>
      <c r="F144" s="99">
        <v>46307</v>
      </c>
      <c r="G144" s="95" t="s">
        <v>193</v>
      </c>
      <c r="H144" s="95">
        <v>6</v>
      </c>
      <c r="I144" s="95">
        <v>700</v>
      </c>
      <c r="J144" s="95">
        <v>21000</v>
      </c>
      <c r="K144" s="95">
        <v>3000</v>
      </c>
      <c r="L144" s="25">
        <v>3000</v>
      </c>
      <c r="O144" s="11">
        <f>SUM(H144*I144)</f>
        <v>4200</v>
      </c>
      <c r="P144" s="11">
        <f>SUM(O144*1)</f>
        <v>4200</v>
      </c>
      <c r="Q144" s="10">
        <f>SUM(L144)</f>
        <v>3000</v>
      </c>
      <c r="S144" s="11">
        <f t="shared" si="3"/>
        <v>1200</v>
      </c>
    </row>
    <row r="145" spans="1:19" ht="13.8" thickBot="1">
      <c r="A145" s="96"/>
      <c r="B145" s="96"/>
      <c r="C145" s="96"/>
      <c r="D145" s="96"/>
      <c r="E145" s="96"/>
      <c r="F145" s="100"/>
      <c r="G145" s="96"/>
      <c r="H145" s="96"/>
      <c r="I145" s="96"/>
      <c r="J145" s="96"/>
      <c r="K145" s="96"/>
      <c r="L145" s="25"/>
    </row>
    <row r="146" spans="1:19" ht="13.8" thickBot="1">
      <c r="A146" s="36"/>
      <c r="B146" s="36"/>
      <c r="C146" s="40"/>
      <c r="D146" s="40"/>
      <c r="E146" s="25"/>
      <c r="F146" s="25"/>
      <c r="G146" s="40"/>
      <c r="H146" s="40"/>
      <c r="I146" s="36"/>
      <c r="J146" s="36"/>
      <c r="K146" s="36"/>
      <c r="L146" s="36"/>
    </row>
    <row r="147" spans="1:19" ht="13.2">
      <c r="A147" s="95">
        <v>45</v>
      </c>
      <c r="B147" s="95" t="s">
        <v>223</v>
      </c>
      <c r="C147" s="95" t="s">
        <v>224</v>
      </c>
      <c r="D147" s="95">
        <v>12</v>
      </c>
      <c r="E147" s="98">
        <v>11</v>
      </c>
      <c r="F147" s="99">
        <v>46302</v>
      </c>
      <c r="G147" s="95" t="s">
        <v>28</v>
      </c>
      <c r="H147" s="95">
        <v>12</v>
      </c>
      <c r="I147" s="95">
        <v>900</v>
      </c>
      <c r="J147" s="95">
        <v>54000</v>
      </c>
      <c r="K147" s="95">
        <v>5400</v>
      </c>
      <c r="L147" s="25">
        <v>5400</v>
      </c>
      <c r="O147" s="11">
        <f>SUM(H147*I147)</f>
        <v>10800</v>
      </c>
      <c r="P147" s="11">
        <f>SUM(O147*1)</f>
        <v>10800</v>
      </c>
      <c r="Q147" s="10">
        <f>SUM(L147)</f>
        <v>5400</v>
      </c>
      <c r="S147" s="11">
        <f>SUM(P147-Q147)</f>
        <v>5400</v>
      </c>
    </row>
    <row r="148" spans="1:19" ht="13.8" thickBot="1">
      <c r="A148" s="96"/>
      <c r="B148" s="96"/>
      <c r="C148" s="96"/>
      <c r="D148" s="96"/>
      <c r="E148" s="96"/>
      <c r="F148" s="100"/>
      <c r="G148" s="96"/>
      <c r="H148" s="96"/>
      <c r="I148" s="96"/>
      <c r="J148" s="96"/>
      <c r="K148" s="96"/>
      <c r="L148" s="25"/>
    </row>
    <row r="149" spans="1:19" ht="13.8" thickBot="1">
      <c r="A149" s="144"/>
      <c r="B149" s="144"/>
      <c r="C149" s="144"/>
      <c r="D149" s="144"/>
      <c r="E149" s="144"/>
      <c r="F149" s="145"/>
      <c r="G149" s="144"/>
      <c r="H149" s="144"/>
      <c r="I149" s="144"/>
      <c r="J149" s="144"/>
      <c r="K149" s="144"/>
      <c r="L149" s="146"/>
    </row>
    <row r="150" spans="1:19" ht="13.2">
      <c r="A150" s="95">
        <v>46</v>
      </c>
      <c r="B150" s="95" t="s">
        <v>101</v>
      </c>
      <c r="C150" s="97" t="s">
        <v>229</v>
      </c>
      <c r="D150" s="95">
        <v>6</v>
      </c>
      <c r="E150" s="98">
        <v>8</v>
      </c>
      <c r="F150" s="99">
        <v>46063</v>
      </c>
      <c r="G150" s="95" t="s">
        <v>28</v>
      </c>
      <c r="H150" s="95">
        <v>6</v>
      </c>
      <c r="I150" s="95">
        <v>600</v>
      </c>
      <c r="J150" s="95">
        <v>3600</v>
      </c>
      <c r="K150" s="95">
        <v>3600</v>
      </c>
      <c r="L150" s="25">
        <v>3600</v>
      </c>
      <c r="O150" s="11">
        <f>SUM(H150*I150)</f>
        <v>3600</v>
      </c>
      <c r="P150" s="11">
        <f>SUM(O150*1)</f>
        <v>3600</v>
      </c>
      <c r="Q150" s="10">
        <f>SUM(L150)</f>
        <v>3600</v>
      </c>
      <c r="S150" s="11">
        <f>SUM(P150-Q150)</f>
        <v>0</v>
      </c>
    </row>
    <row r="151" spans="1:19" ht="13.8" thickBot="1">
      <c r="A151" s="96"/>
      <c r="B151" s="96"/>
      <c r="C151" s="96"/>
      <c r="D151" s="96"/>
      <c r="E151" s="96"/>
      <c r="F151" s="100"/>
      <c r="G151" s="96"/>
      <c r="H151" s="96"/>
      <c r="I151" s="96"/>
      <c r="J151" s="96"/>
      <c r="K151" s="96"/>
      <c r="L151" s="25"/>
    </row>
    <row r="152" spans="1:19" ht="13.2">
      <c r="A152" s="8"/>
      <c r="B152" s="8"/>
      <c r="C152" s="8"/>
      <c r="D152" s="8"/>
      <c r="E152" s="5"/>
      <c r="F152" s="5"/>
      <c r="G152" s="8"/>
      <c r="H152" s="8"/>
      <c r="I152" s="8"/>
      <c r="J152" s="8"/>
      <c r="K152" s="8"/>
      <c r="L152" s="8"/>
    </row>
    <row r="153" spans="1:19" ht="15.6">
      <c r="A153" s="17"/>
      <c r="B153" s="16" t="s">
        <v>201</v>
      </c>
      <c r="C153" s="17"/>
      <c r="D153" s="17"/>
      <c r="E153" s="18"/>
      <c r="F153" s="18"/>
      <c r="G153" s="17"/>
      <c r="H153" s="17"/>
      <c r="I153" s="17"/>
      <c r="J153" s="17"/>
      <c r="K153" s="17"/>
      <c r="L153" s="18"/>
      <c r="M153" s="17"/>
      <c r="N153" s="17"/>
      <c r="O153" s="75">
        <f>SUM(O2:O133)</f>
        <v>361980</v>
      </c>
      <c r="P153" s="76">
        <f>SUM(P2:P152)</f>
        <v>985620</v>
      </c>
      <c r="Q153" s="77">
        <f>SUM(Q2:Q152)</f>
        <v>451080</v>
      </c>
      <c r="S153" s="11">
        <f>SUM(S2:S152)</f>
        <v>537340</v>
      </c>
    </row>
    <row r="154" spans="1:19" ht="15.6">
      <c r="A154" s="13"/>
      <c r="B154" s="13"/>
      <c r="C154" s="13"/>
      <c r="D154" s="13"/>
      <c r="E154" s="14"/>
      <c r="F154" s="14"/>
      <c r="G154" s="13"/>
      <c r="H154" s="13"/>
      <c r="I154" s="13"/>
      <c r="J154" s="13"/>
      <c r="K154" s="13"/>
      <c r="L154" s="14"/>
      <c r="M154" s="13"/>
      <c r="N154" s="13"/>
      <c r="O154" s="78" t="s">
        <v>206</v>
      </c>
      <c r="P154" s="78" t="s">
        <v>207</v>
      </c>
      <c r="Q154" s="78" t="s">
        <v>208</v>
      </c>
      <c r="R154" s="13"/>
    </row>
    <row r="155" spans="1:19" ht="13.8">
      <c r="E155" s="9"/>
      <c r="F155" s="9"/>
      <c r="L155" s="9"/>
      <c r="O155" s="12"/>
      <c r="P155" s="12"/>
      <c r="Q155" s="73"/>
    </row>
    <row r="156" spans="1:19" ht="13.2">
      <c r="E156" s="9"/>
      <c r="F156" s="9"/>
      <c r="L156" s="9"/>
      <c r="O156" s="79" t="s">
        <v>209</v>
      </c>
      <c r="P156" s="80">
        <f>SUM(P153-Q153)</f>
        <v>534540</v>
      </c>
    </row>
    <row r="157" spans="1:19" ht="13.2">
      <c r="E157" s="9"/>
      <c r="F157" s="9"/>
      <c r="L157" s="9"/>
    </row>
    <row r="158" spans="1:19" ht="13.2">
      <c r="E158" s="9"/>
      <c r="F158" s="9"/>
      <c r="L158" s="9"/>
    </row>
    <row r="159" spans="1:19" ht="13.2">
      <c r="E159" s="9"/>
      <c r="F159" s="9"/>
      <c r="L159" s="9"/>
    </row>
    <row r="160" spans="1:19" ht="13.2">
      <c r="E160" s="9"/>
      <c r="F160" s="9"/>
      <c r="L160" s="9"/>
    </row>
    <row r="161" spans="5:12" ht="13.2">
      <c r="E161" s="9"/>
      <c r="F161" s="9"/>
      <c r="L161" s="9"/>
    </row>
    <row r="162" spans="5:12" ht="13.2">
      <c r="E162" s="9"/>
      <c r="F162" s="9"/>
      <c r="L162" s="9"/>
    </row>
    <row r="163" spans="5:12" ht="13.2">
      <c r="E163" s="9"/>
      <c r="F163" s="9"/>
      <c r="L163" s="9"/>
    </row>
    <row r="164" spans="5:12" ht="13.2">
      <c r="E164" s="9"/>
      <c r="F164" s="9"/>
      <c r="L164" s="9"/>
    </row>
    <row r="165" spans="5:12" ht="13.2">
      <c r="E165" s="9"/>
      <c r="F165" s="9"/>
      <c r="L165" s="9"/>
    </row>
    <row r="166" spans="5:12" ht="13.2">
      <c r="E166" s="9"/>
      <c r="F166" s="9"/>
      <c r="L166" s="9"/>
    </row>
    <row r="167" spans="5:12" ht="13.2">
      <c r="E167" s="9"/>
      <c r="F167" s="9"/>
      <c r="L167" s="9"/>
    </row>
    <row r="168" spans="5:12" ht="13.2">
      <c r="E168" s="9"/>
      <c r="F168" s="9"/>
      <c r="L168" s="9"/>
    </row>
    <row r="169" spans="5:12" ht="13.2">
      <c r="E169" s="9"/>
      <c r="F169" s="9"/>
      <c r="L169" s="9"/>
    </row>
    <row r="170" spans="5:12" ht="13.2">
      <c r="E170" s="9"/>
      <c r="F170" s="9"/>
      <c r="L170" s="9"/>
    </row>
    <row r="171" spans="5:12" ht="13.2">
      <c r="E171" s="9"/>
      <c r="F171" s="9"/>
      <c r="L171" s="9"/>
    </row>
    <row r="172" spans="5:12" ht="13.2">
      <c r="E172" s="9"/>
      <c r="F172" s="9"/>
      <c r="L172" s="9"/>
    </row>
    <row r="173" spans="5:12" ht="13.2">
      <c r="E173" s="9"/>
      <c r="F173" s="9"/>
      <c r="L173" s="9"/>
    </row>
    <row r="174" spans="5:12" ht="13.2">
      <c r="E174" s="9"/>
      <c r="F174" s="9"/>
      <c r="L174" s="9"/>
    </row>
    <row r="175" spans="5:12" ht="13.2">
      <c r="E175" s="9"/>
      <c r="F175" s="9"/>
      <c r="L175" s="9"/>
    </row>
    <row r="176" spans="5:12" ht="13.2">
      <c r="E176" s="9"/>
      <c r="F176" s="9"/>
      <c r="L176" s="9"/>
    </row>
    <row r="177" spans="5:12" ht="13.2">
      <c r="E177" s="9"/>
      <c r="F177" s="9"/>
      <c r="L177" s="9"/>
    </row>
    <row r="178" spans="5:12" ht="13.2">
      <c r="E178" s="9"/>
      <c r="F178" s="9"/>
      <c r="L178" s="9"/>
    </row>
    <row r="179" spans="5:12" ht="13.2">
      <c r="E179" s="9"/>
      <c r="F179" s="9"/>
      <c r="L179" s="9"/>
    </row>
    <row r="180" spans="5:12" ht="13.2">
      <c r="E180" s="9"/>
      <c r="F180" s="9"/>
      <c r="L180" s="9"/>
    </row>
    <row r="181" spans="5:12" ht="13.2">
      <c r="E181" s="9"/>
      <c r="F181" s="9"/>
      <c r="L181" s="9"/>
    </row>
    <row r="182" spans="5:12" ht="13.2">
      <c r="E182" s="9"/>
      <c r="F182" s="9"/>
      <c r="L182" s="9"/>
    </row>
    <row r="183" spans="5:12" ht="13.2">
      <c r="E183" s="9"/>
      <c r="F183" s="9"/>
      <c r="L183" s="9"/>
    </row>
    <row r="184" spans="5:12" ht="13.2">
      <c r="E184" s="9"/>
      <c r="F184" s="9"/>
      <c r="L184" s="9"/>
    </row>
    <row r="185" spans="5:12" ht="13.2">
      <c r="E185" s="9"/>
      <c r="F185" s="9"/>
      <c r="L185" s="9"/>
    </row>
    <row r="186" spans="5:12" ht="13.2">
      <c r="E186" s="9"/>
      <c r="F186" s="9"/>
      <c r="L186" s="9"/>
    </row>
    <row r="187" spans="5:12" ht="13.2">
      <c r="E187" s="9"/>
      <c r="F187" s="9"/>
      <c r="L187" s="9"/>
    </row>
    <row r="188" spans="5:12" ht="13.2">
      <c r="E188" s="9"/>
      <c r="F188" s="9"/>
      <c r="L188" s="9"/>
    </row>
    <row r="189" spans="5:12" ht="13.2">
      <c r="E189" s="9"/>
      <c r="F189" s="9"/>
      <c r="L189" s="9"/>
    </row>
    <row r="190" spans="5:12" ht="13.2">
      <c r="E190" s="9"/>
      <c r="F190" s="9"/>
      <c r="L190" s="9"/>
    </row>
    <row r="191" spans="5:12" ht="13.2">
      <c r="E191" s="9"/>
      <c r="F191" s="9"/>
      <c r="L191" s="9"/>
    </row>
    <row r="192" spans="5:12" ht="13.2">
      <c r="E192" s="9"/>
      <c r="F192" s="9"/>
      <c r="L192" s="9"/>
    </row>
    <row r="193" spans="5:12" ht="13.2">
      <c r="E193" s="9"/>
      <c r="F193" s="9"/>
      <c r="L193" s="9"/>
    </row>
    <row r="194" spans="5:12" ht="13.2">
      <c r="E194" s="9"/>
      <c r="F194" s="9"/>
      <c r="L194" s="9"/>
    </row>
    <row r="195" spans="5:12" ht="13.2">
      <c r="E195" s="9"/>
      <c r="F195" s="9"/>
      <c r="L195" s="9"/>
    </row>
    <row r="196" spans="5:12" ht="13.2">
      <c r="E196" s="9"/>
      <c r="F196" s="9"/>
      <c r="L196" s="9"/>
    </row>
    <row r="197" spans="5:12" ht="13.2">
      <c r="E197" s="9"/>
      <c r="F197" s="9"/>
      <c r="L197" s="9"/>
    </row>
    <row r="198" spans="5:12" ht="13.2">
      <c r="E198" s="9"/>
      <c r="F198" s="9"/>
      <c r="L198" s="9"/>
    </row>
    <row r="199" spans="5:12" ht="13.2">
      <c r="E199" s="9"/>
      <c r="F199" s="9"/>
      <c r="L199" s="9"/>
    </row>
    <row r="200" spans="5:12" ht="13.2">
      <c r="E200" s="9"/>
      <c r="F200" s="9"/>
      <c r="L200" s="9"/>
    </row>
    <row r="201" spans="5:12" ht="13.2">
      <c r="E201" s="9"/>
      <c r="F201" s="9"/>
      <c r="L201" s="9"/>
    </row>
    <row r="202" spans="5:12" ht="13.2">
      <c r="E202" s="9"/>
      <c r="F202" s="9"/>
      <c r="L202" s="9"/>
    </row>
    <row r="203" spans="5:12" ht="13.2">
      <c r="E203" s="9"/>
      <c r="F203" s="9"/>
      <c r="L203" s="9"/>
    </row>
    <row r="204" spans="5:12" ht="13.2">
      <c r="E204" s="9"/>
      <c r="F204" s="9"/>
      <c r="L204" s="9"/>
    </row>
    <row r="205" spans="5:12" ht="13.2">
      <c r="E205" s="9"/>
      <c r="F205" s="9"/>
      <c r="L205" s="9"/>
    </row>
    <row r="206" spans="5:12" ht="13.2">
      <c r="E206" s="9"/>
      <c r="F206" s="9"/>
      <c r="L206" s="9"/>
    </row>
    <row r="207" spans="5:12" ht="13.2">
      <c r="E207" s="9"/>
      <c r="F207" s="9"/>
      <c r="L207" s="9"/>
    </row>
    <row r="208" spans="5:12" ht="13.2">
      <c r="E208" s="9"/>
      <c r="F208" s="9"/>
      <c r="L208" s="9"/>
    </row>
    <row r="209" spans="5:12" ht="13.2">
      <c r="E209" s="9"/>
      <c r="F209" s="9"/>
      <c r="L209" s="9"/>
    </row>
    <row r="210" spans="5:12" ht="13.2">
      <c r="E210" s="9"/>
      <c r="F210" s="9"/>
      <c r="L210" s="9"/>
    </row>
    <row r="211" spans="5:12" ht="13.2">
      <c r="E211" s="9"/>
      <c r="F211" s="9"/>
      <c r="L211" s="9"/>
    </row>
    <row r="212" spans="5:12" ht="13.2">
      <c r="E212" s="9"/>
      <c r="F212" s="9"/>
      <c r="L212" s="9"/>
    </row>
    <row r="213" spans="5:12" ht="13.2">
      <c r="E213" s="9"/>
      <c r="F213" s="9"/>
      <c r="L213" s="9"/>
    </row>
    <row r="214" spans="5:12" ht="13.2">
      <c r="E214" s="9"/>
      <c r="F214" s="9"/>
      <c r="L214" s="9"/>
    </row>
    <row r="215" spans="5:12" ht="13.2">
      <c r="E215" s="9"/>
      <c r="F215" s="9"/>
      <c r="L215" s="9"/>
    </row>
    <row r="216" spans="5:12" ht="13.2">
      <c r="E216" s="9"/>
      <c r="F216" s="9"/>
      <c r="L216" s="9"/>
    </row>
    <row r="217" spans="5:12" ht="13.2">
      <c r="E217" s="9"/>
      <c r="F217" s="9"/>
      <c r="L217" s="9"/>
    </row>
    <row r="218" spans="5:12" ht="13.2">
      <c r="E218" s="9"/>
      <c r="F218" s="9"/>
      <c r="L218" s="9"/>
    </row>
    <row r="219" spans="5:12" ht="13.2">
      <c r="E219" s="9"/>
      <c r="F219" s="9"/>
      <c r="L219" s="9"/>
    </row>
    <row r="220" spans="5:12" ht="13.2">
      <c r="E220" s="9"/>
      <c r="F220" s="9"/>
      <c r="L220" s="9"/>
    </row>
    <row r="221" spans="5:12" ht="13.2">
      <c r="E221" s="9"/>
      <c r="F221" s="9"/>
      <c r="L221" s="9"/>
    </row>
    <row r="222" spans="5:12" ht="13.2">
      <c r="E222" s="9"/>
      <c r="F222" s="9"/>
      <c r="L222" s="9"/>
    </row>
    <row r="223" spans="5:12" ht="13.2">
      <c r="E223" s="9"/>
      <c r="F223" s="9"/>
      <c r="L223" s="9"/>
    </row>
    <row r="224" spans="5:12" ht="13.2">
      <c r="E224" s="9"/>
      <c r="F224" s="9"/>
      <c r="L224" s="9"/>
    </row>
    <row r="225" spans="5:12" ht="13.2">
      <c r="E225" s="9"/>
      <c r="F225" s="9"/>
      <c r="L225" s="9"/>
    </row>
    <row r="226" spans="5:12" ht="13.2">
      <c r="E226" s="9"/>
      <c r="F226" s="9"/>
      <c r="L226" s="9"/>
    </row>
    <row r="227" spans="5:12" ht="13.2">
      <c r="E227" s="9"/>
      <c r="F227" s="9"/>
      <c r="L227" s="9"/>
    </row>
    <row r="228" spans="5:12" ht="13.2">
      <c r="E228" s="9"/>
      <c r="F228" s="9"/>
      <c r="L228" s="9"/>
    </row>
    <row r="229" spans="5:12" ht="13.2">
      <c r="E229" s="9"/>
      <c r="F229" s="9"/>
      <c r="L229" s="9"/>
    </row>
    <row r="230" spans="5:12" ht="13.2">
      <c r="E230" s="9"/>
      <c r="F230" s="9"/>
      <c r="L230" s="9"/>
    </row>
    <row r="231" spans="5:12" ht="13.2">
      <c r="E231" s="9"/>
      <c r="F231" s="9"/>
      <c r="L231" s="9"/>
    </row>
    <row r="232" spans="5:12" ht="13.2">
      <c r="E232" s="9"/>
      <c r="F232" s="9"/>
      <c r="L232" s="9"/>
    </row>
    <row r="233" spans="5:12" ht="13.2">
      <c r="E233" s="9"/>
      <c r="F233" s="9"/>
      <c r="L233" s="9"/>
    </row>
    <row r="234" spans="5:12" ht="13.2">
      <c r="E234" s="9"/>
      <c r="F234" s="9"/>
      <c r="L234" s="9"/>
    </row>
    <row r="235" spans="5:12" ht="13.2">
      <c r="E235" s="9"/>
      <c r="F235" s="9"/>
      <c r="L235" s="9"/>
    </row>
    <row r="236" spans="5:12" ht="13.2">
      <c r="E236" s="9"/>
      <c r="F236" s="9"/>
      <c r="L236" s="9"/>
    </row>
    <row r="237" spans="5:12" ht="13.2">
      <c r="E237" s="9"/>
      <c r="F237" s="9"/>
      <c r="L237" s="9"/>
    </row>
    <row r="238" spans="5:12" ht="13.2">
      <c r="E238" s="9"/>
      <c r="F238" s="9"/>
      <c r="L238" s="9"/>
    </row>
    <row r="239" spans="5:12" ht="13.2">
      <c r="E239" s="9"/>
      <c r="F239" s="9"/>
      <c r="L239" s="9"/>
    </row>
    <row r="240" spans="5:12" ht="13.2">
      <c r="E240" s="9"/>
      <c r="F240" s="9"/>
      <c r="L240" s="9"/>
    </row>
    <row r="241" spans="5:12" ht="13.2">
      <c r="E241" s="9"/>
      <c r="F241" s="9"/>
      <c r="L241" s="9"/>
    </row>
    <row r="242" spans="5:12" ht="13.2">
      <c r="E242" s="9"/>
      <c r="F242" s="9"/>
      <c r="L242" s="9"/>
    </row>
    <row r="243" spans="5:12" ht="13.2">
      <c r="E243" s="9"/>
      <c r="F243" s="9"/>
      <c r="L243" s="9"/>
    </row>
    <row r="244" spans="5:12" ht="13.2">
      <c r="E244" s="9"/>
      <c r="F244" s="9"/>
      <c r="L244" s="9"/>
    </row>
    <row r="245" spans="5:12" ht="13.2">
      <c r="E245" s="9"/>
      <c r="F245" s="9"/>
      <c r="L245" s="9"/>
    </row>
    <row r="246" spans="5:12" ht="13.2">
      <c r="E246" s="9"/>
      <c r="F246" s="9"/>
      <c r="L246" s="9"/>
    </row>
    <row r="247" spans="5:12" ht="13.2">
      <c r="E247" s="9"/>
      <c r="F247" s="9"/>
      <c r="L247" s="9"/>
    </row>
    <row r="248" spans="5:12" ht="13.2">
      <c r="E248" s="9"/>
      <c r="F248" s="9"/>
      <c r="L248" s="9"/>
    </row>
    <row r="249" spans="5:12" ht="13.2">
      <c r="E249" s="9"/>
      <c r="F249" s="9"/>
      <c r="L249" s="9"/>
    </row>
    <row r="250" spans="5:12" ht="13.2">
      <c r="E250" s="9"/>
      <c r="F250" s="9"/>
      <c r="L250" s="9"/>
    </row>
    <row r="251" spans="5:12" ht="13.2">
      <c r="E251" s="9"/>
      <c r="F251" s="9"/>
      <c r="L251" s="9"/>
    </row>
    <row r="252" spans="5:12" ht="13.2">
      <c r="E252" s="9"/>
      <c r="F252" s="9"/>
      <c r="L252" s="9"/>
    </row>
    <row r="253" spans="5:12" ht="13.2">
      <c r="E253" s="9"/>
      <c r="F253" s="9"/>
      <c r="L253" s="9"/>
    </row>
    <row r="254" spans="5:12" ht="13.2">
      <c r="E254" s="9"/>
      <c r="F254" s="9"/>
      <c r="L254" s="9"/>
    </row>
    <row r="255" spans="5:12" ht="13.2">
      <c r="E255" s="9"/>
      <c r="F255" s="9"/>
      <c r="L255" s="9"/>
    </row>
    <row r="256" spans="5:12" ht="13.2">
      <c r="E256" s="9"/>
      <c r="F256" s="9"/>
      <c r="L256" s="9"/>
    </row>
    <row r="257" spans="5:12" ht="13.2">
      <c r="E257" s="9"/>
      <c r="F257" s="9"/>
      <c r="L257" s="9"/>
    </row>
    <row r="258" spans="5:12" ht="13.2">
      <c r="E258" s="9"/>
      <c r="F258" s="9"/>
      <c r="L258" s="9"/>
    </row>
    <row r="259" spans="5:12" ht="13.2">
      <c r="E259" s="9"/>
      <c r="F259" s="9"/>
      <c r="L259" s="9"/>
    </row>
    <row r="260" spans="5:12" ht="13.2">
      <c r="E260" s="9"/>
      <c r="F260" s="9"/>
      <c r="L260" s="9"/>
    </row>
    <row r="261" spans="5:12" ht="13.2">
      <c r="E261" s="9"/>
      <c r="F261" s="9"/>
      <c r="L261" s="9"/>
    </row>
    <row r="262" spans="5:12" ht="13.2">
      <c r="E262" s="9"/>
      <c r="F262" s="9"/>
      <c r="L262" s="9"/>
    </row>
    <row r="263" spans="5:12" ht="13.2">
      <c r="E263" s="9"/>
      <c r="F263" s="9"/>
      <c r="L263" s="9"/>
    </row>
    <row r="264" spans="5:12" ht="13.2">
      <c r="E264" s="9"/>
      <c r="F264" s="9"/>
      <c r="L264" s="9"/>
    </row>
    <row r="265" spans="5:12" ht="13.2">
      <c r="E265" s="9"/>
      <c r="F265" s="9"/>
      <c r="L265" s="9"/>
    </row>
    <row r="266" spans="5:12" ht="13.2">
      <c r="E266" s="9"/>
      <c r="F266" s="9"/>
      <c r="L266" s="9"/>
    </row>
    <row r="267" spans="5:12" ht="13.2">
      <c r="E267" s="9"/>
      <c r="F267" s="9"/>
      <c r="L267" s="9"/>
    </row>
    <row r="268" spans="5:12" ht="13.2">
      <c r="E268" s="9"/>
      <c r="F268" s="9"/>
      <c r="L268" s="9"/>
    </row>
    <row r="269" spans="5:12" ht="13.2">
      <c r="E269" s="9"/>
      <c r="F269" s="9"/>
      <c r="L269" s="9"/>
    </row>
    <row r="270" spans="5:12" ht="13.2">
      <c r="E270" s="9"/>
      <c r="F270" s="9"/>
      <c r="L270" s="9"/>
    </row>
    <row r="271" spans="5:12" ht="13.2">
      <c r="E271" s="9"/>
      <c r="F271" s="9"/>
      <c r="L271" s="9"/>
    </row>
    <row r="272" spans="5:12" ht="13.2">
      <c r="E272" s="9"/>
      <c r="F272" s="9"/>
      <c r="L272" s="9"/>
    </row>
    <row r="273" spans="5:12" ht="13.2">
      <c r="E273" s="9"/>
      <c r="F273" s="9"/>
      <c r="L273" s="9"/>
    </row>
    <row r="274" spans="5:12" ht="13.2">
      <c r="E274" s="9"/>
      <c r="F274" s="9"/>
      <c r="L274" s="9"/>
    </row>
    <row r="275" spans="5:12" ht="13.2">
      <c r="E275" s="9"/>
      <c r="F275" s="9"/>
      <c r="L275" s="9"/>
    </row>
    <row r="276" spans="5:12" ht="13.2">
      <c r="E276" s="9"/>
      <c r="F276" s="9"/>
      <c r="L276" s="9"/>
    </row>
    <row r="277" spans="5:12" ht="13.2">
      <c r="E277" s="9"/>
      <c r="F277" s="9"/>
      <c r="L277" s="9"/>
    </row>
    <row r="278" spans="5:12" ht="13.2">
      <c r="E278" s="9"/>
      <c r="F278" s="9"/>
      <c r="L278" s="9"/>
    </row>
    <row r="279" spans="5:12" ht="13.2">
      <c r="E279" s="9"/>
      <c r="F279" s="9"/>
      <c r="L279" s="9"/>
    </row>
    <row r="280" spans="5:12" ht="13.2">
      <c r="E280" s="9"/>
      <c r="F280" s="9"/>
      <c r="L280" s="9"/>
    </row>
    <row r="281" spans="5:12" ht="13.2">
      <c r="E281" s="9"/>
      <c r="F281" s="9"/>
      <c r="L281" s="9"/>
    </row>
    <row r="282" spans="5:12" ht="13.2">
      <c r="E282" s="9"/>
      <c r="F282" s="9"/>
      <c r="L282" s="9"/>
    </row>
    <row r="283" spans="5:12" ht="13.2">
      <c r="E283" s="9"/>
      <c r="F283" s="9"/>
      <c r="L283" s="9"/>
    </row>
    <row r="284" spans="5:12" ht="13.2">
      <c r="E284" s="9"/>
      <c r="F284" s="9"/>
      <c r="L284" s="9"/>
    </row>
    <row r="285" spans="5:12" ht="13.2">
      <c r="E285" s="9"/>
      <c r="F285" s="9"/>
      <c r="L285" s="9"/>
    </row>
    <row r="286" spans="5:12" ht="13.2">
      <c r="E286" s="9"/>
      <c r="F286" s="9"/>
      <c r="L286" s="9"/>
    </row>
    <row r="287" spans="5:12" ht="13.2">
      <c r="E287" s="9"/>
      <c r="F287" s="9"/>
      <c r="L287" s="9"/>
    </row>
    <row r="288" spans="5:12" ht="13.2">
      <c r="E288" s="9"/>
      <c r="F288" s="9"/>
      <c r="L288" s="9"/>
    </row>
    <row r="289" spans="5:12" ht="13.2">
      <c r="E289" s="9"/>
      <c r="F289" s="9"/>
      <c r="L289" s="9"/>
    </row>
    <row r="290" spans="5:12" ht="13.2">
      <c r="E290" s="9"/>
      <c r="F290" s="9"/>
      <c r="L290" s="9"/>
    </row>
    <row r="291" spans="5:12" ht="13.2">
      <c r="E291" s="9"/>
      <c r="F291" s="9"/>
      <c r="L291" s="9"/>
    </row>
    <row r="292" spans="5:12" ht="13.2">
      <c r="E292" s="9"/>
      <c r="F292" s="9"/>
      <c r="L292" s="9"/>
    </row>
    <row r="293" spans="5:12" ht="13.2">
      <c r="E293" s="9"/>
      <c r="F293" s="9"/>
      <c r="L293" s="9"/>
    </row>
    <row r="294" spans="5:12" ht="13.2">
      <c r="E294" s="9"/>
      <c r="F294" s="9"/>
      <c r="L294" s="9"/>
    </row>
    <row r="295" spans="5:12" ht="13.2">
      <c r="E295" s="9"/>
      <c r="F295" s="9"/>
      <c r="L295" s="9"/>
    </row>
    <row r="296" spans="5:12" ht="13.2">
      <c r="E296" s="9"/>
      <c r="F296" s="9"/>
      <c r="L296" s="9"/>
    </row>
    <row r="297" spans="5:12" ht="13.2">
      <c r="E297" s="9"/>
      <c r="F297" s="9"/>
      <c r="L297" s="9"/>
    </row>
    <row r="298" spans="5:12" ht="13.2">
      <c r="E298" s="9"/>
      <c r="F298" s="9"/>
      <c r="L298" s="9"/>
    </row>
    <row r="299" spans="5:12" ht="13.2">
      <c r="E299" s="9"/>
      <c r="F299" s="9"/>
      <c r="L299" s="9"/>
    </row>
    <row r="300" spans="5:12" ht="13.2">
      <c r="E300" s="9"/>
      <c r="F300" s="9"/>
      <c r="L300" s="9"/>
    </row>
    <row r="301" spans="5:12" ht="13.2">
      <c r="E301" s="9"/>
      <c r="F301" s="9"/>
      <c r="L301" s="9"/>
    </row>
    <row r="302" spans="5:12" ht="13.2">
      <c r="E302" s="9"/>
      <c r="F302" s="9"/>
      <c r="L302" s="9"/>
    </row>
    <row r="303" spans="5:12" ht="13.2">
      <c r="E303" s="9"/>
      <c r="F303" s="9"/>
      <c r="L303" s="9"/>
    </row>
    <row r="304" spans="5:12" ht="13.2">
      <c r="E304" s="9"/>
      <c r="F304" s="9"/>
      <c r="L304" s="9"/>
    </row>
    <row r="305" spans="5:12" ht="13.2">
      <c r="E305" s="9"/>
      <c r="F305" s="9"/>
      <c r="L305" s="9"/>
    </row>
    <row r="306" spans="5:12" ht="13.2">
      <c r="E306" s="9"/>
      <c r="F306" s="9"/>
      <c r="L306" s="9"/>
    </row>
    <row r="307" spans="5:12" ht="13.2">
      <c r="E307" s="9"/>
      <c r="F307" s="9"/>
      <c r="L307" s="9"/>
    </row>
    <row r="308" spans="5:12" ht="13.2">
      <c r="E308" s="9"/>
      <c r="F308" s="9"/>
      <c r="L308" s="9"/>
    </row>
    <row r="309" spans="5:12" ht="13.2">
      <c r="E309" s="9"/>
      <c r="F309" s="9"/>
      <c r="L309" s="9"/>
    </row>
    <row r="310" spans="5:12" ht="13.2">
      <c r="E310" s="9"/>
      <c r="F310" s="9"/>
      <c r="L310" s="9"/>
    </row>
    <row r="311" spans="5:12" ht="13.2">
      <c r="E311" s="9"/>
      <c r="F311" s="9"/>
      <c r="L311" s="9"/>
    </row>
    <row r="312" spans="5:12" ht="13.2">
      <c r="E312" s="9"/>
      <c r="F312" s="9"/>
      <c r="L312" s="9"/>
    </row>
    <row r="313" spans="5:12" ht="13.2">
      <c r="E313" s="9"/>
      <c r="F313" s="9"/>
      <c r="L313" s="9"/>
    </row>
    <row r="314" spans="5:12" ht="13.2">
      <c r="E314" s="9"/>
      <c r="F314" s="9"/>
      <c r="L314" s="9"/>
    </row>
    <row r="315" spans="5:12" ht="13.2">
      <c r="E315" s="9"/>
      <c r="F315" s="9"/>
      <c r="L315" s="9"/>
    </row>
    <row r="316" spans="5:12" ht="13.2">
      <c r="E316" s="9"/>
      <c r="F316" s="9"/>
      <c r="L316" s="9"/>
    </row>
    <row r="317" spans="5:12" ht="13.2">
      <c r="E317" s="9"/>
      <c r="F317" s="9"/>
      <c r="L317" s="9"/>
    </row>
    <row r="318" spans="5:12" ht="13.2">
      <c r="E318" s="9"/>
      <c r="F318" s="9"/>
      <c r="L318" s="9"/>
    </row>
    <row r="319" spans="5:12" ht="13.2">
      <c r="E319" s="9"/>
      <c r="F319" s="9"/>
      <c r="L319" s="9"/>
    </row>
    <row r="320" spans="5:12" ht="13.2">
      <c r="E320" s="9"/>
      <c r="F320" s="9"/>
      <c r="L320" s="9"/>
    </row>
    <row r="321" spans="5:12" ht="13.2">
      <c r="E321" s="9"/>
      <c r="F321" s="9"/>
      <c r="L321" s="9"/>
    </row>
    <row r="322" spans="5:12" ht="13.2">
      <c r="E322" s="9"/>
      <c r="F322" s="9"/>
      <c r="L322" s="9"/>
    </row>
    <row r="323" spans="5:12" ht="13.2">
      <c r="E323" s="9"/>
      <c r="F323" s="9"/>
      <c r="L323" s="9"/>
    </row>
    <row r="324" spans="5:12" ht="13.2">
      <c r="E324" s="9"/>
      <c r="F324" s="9"/>
      <c r="L324" s="9"/>
    </row>
    <row r="325" spans="5:12" ht="13.2">
      <c r="E325" s="9"/>
      <c r="F325" s="9"/>
      <c r="L325" s="9"/>
    </row>
    <row r="326" spans="5:12" ht="13.2">
      <c r="E326" s="9"/>
      <c r="F326" s="9"/>
      <c r="L326" s="9"/>
    </row>
    <row r="327" spans="5:12" ht="13.2">
      <c r="E327" s="9"/>
      <c r="F327" s="9"/>
      <c r="L327" s="9"/>
    </row>
    <row r="328" spans="5:12" ht="13.2">
      <c r="E328" s="9"/>
      <c r="F328" s="9"/>
      <c r="L328" s="9"/>
    </row>
    <row r="329" spans="5:12" ht="13.2">
      <c r="E329" s="9"/>
      <c r="F329" s="9"/>
      <c r="L329" s="9"/>
    </row>
    <row r="330" spans="5:12" ht="13.2">
      <c r="E330" s="9"/>
      <c r="F330" s="9"/>
      <c r="L330" s="9"/>
    </row>
    <row r="331" spans="5:12" ht="13.2">
      <c r="E331" s="9"/>
      <c r="F331" s="9"/>
      <c r="L331" s="9"/>
    </row>
    <row r="332" spans="5:12" ht="13.2">
      <c r="E332" s="9"/>
      <c r="F332" s="9"/>
      <c r="L332" s="9"/>
    </row>
    <row r="333" spans="5:12" ht="13.2">
      <c r="E333" s="9"/>
      <c r="F333" s="9"/>
      <c r="L333" s="9"/>
    </row>
    <row r="334" spans="5:12" ht="13.2">
      <c r="E334" s="9"/>
      <c r="F334" s="9"/>
      <c r="L334" s="9"/>
    </row>
    <row r="335" spans="5:12" ht="13.2">
      <c r="E335" s="9"/>
      <c r="F335" s="9"/>
      <c r="L335" s="9"/>
    </row>
    <row r="336" spans="5:12" ht="13.2">
      <c r="E336" s="9"/>
      <c r="F336" s="9"/>
      <c r="L336" s="9"/>
    </row>
    <row r="337" spans="5:12" ht="13.2">
      <c r="E337" s="9"/>
      <c r="F337" s="9"/>
      <c r="L337" s="9"/>
    </row>
    <row r="338" spans="5:12" ht="13.2">
      <c r="E338" s="9"/>
      <c r="F338" s="9"/>
      <c r="L338" s="9"/>
    </row>
    <row r="339" spans="5:12" ht="13.2">
      <c r="E339" s="9"/>
      <c r="F339" s="9"/>
      <c r="L339" s="9"/>
    </row>
    <row r="340" spans="5:12" ht="13.2">
      <c r="E340" s="9"/>
      <c r="F340" s="9"/>
      <c r="L340" s="9"/>
    </row>
    <row r="341" spans="5:12" ht="13.2">
      <c r="E341" s="9"/>
      <c r="F341" s="9"/>
      <c r="L341" s="9"/>
    </row>
    <row r="342" spans="5:12" ht="13.2">
      <c r="E342" s="9"/>
      <c r="F342" s="9"/>
      <c r="L342" s="9"/>
    </row>
    <row r="343" spans="5:12" ht="13.2">
      <c r="E343" s="9"/>
      <c r="F343" s="9"/>
      <c r="L343" s="9"/>
    </row>
    <row r="344" spans="5:12" ht="13.2">
      <c r="E344" s="9"/>
      <c r="F344" s="9"/>
      <c r="L344" s="9"/>
    </row>
    <row r="345" spans="5:12" ht="13.2">
      <c r="E345" s="9"/>
      <c r="F345" s="9"/>
      <c r="L345" s="9"/>
    </row>
    <row r="346" spans="5:12" ht="13.2">
      <c r="E346" s="9"/>
      <c r="F346" s="9"/>
      <c r="L346" s="9"/>
    </row>
    <row r="347" spans="5:12" ht="13.2">
      <c r="E347" s="9"/>
      <c r="F347" s="9"/>
      <c r="L347" s="9"/>
    </row>
    <row r="348" spans="5:12" ht="13.2">
      <c r="E348" s="9"/>
      <c r="F348" s="9"/>
      <c r="L348" s="9"/>
    </row>
    <row r="349" spans="5:12" ht="13.2">
      <c r="E349" s="9"/>
      <c r="F349" s="9"/>
      <c r="L349" s="9"/>
    </row>
    <row r="350" spans="5:12" ht="13.2">
      <c r="E350" s="9"/>
      <c r="F350" s="9"/>
      <c r="L350" s="9"/>
    </row>
    <row r="351" spans="5:12" ht="13.2">
      <c r="E351" s="9"/>
      <c r="F351" s="9"/>
      <c r="L351" s="9"/>
    </row>
    <row r="352" spans="5:12" ht="13.2">
      <c r="E352" s="9"/>
      <c r="F352" s="9"/>
      <c r="L352" s="9"/>
    </row>
    <row r="353" spans="5:12" ht="13.2">
      <c r="E353" s="9"/>
      <c r="F353" s="9"/>
      <c r="L353" s="9"/>
    </row>
    <row r="354" spans="5:12" ht="13.2">
      <c r="E354" s="9"/>
      <c r="F354" s="9"/>
      <c r="L354" s="9"/>
    </row>
    <row r="355" spans="5:12" ht="13.2">
      <c r="E355" s="9"/>
      <c r="F355" s="9"/>
      <c r="L355" s="9"/>
    </row>
    <row r="356" spans="5:12" ht="13.2">
      <c r="E356" s="9"/>
      <c r="F356" s="9"/>
      <c r="L356" s="9"/>
    </row>
    <row r="357" spans="5:12" ht="13.2">
      <c r="E357" s="9"/>
      <c r="F357" s="9"/>
      <c r="L357" s="9"/>
    </row>
    <row r="358" spans="5:12" ht="13.2">
      <c r="E358" s="9"/>
      <c r="F358" s="9"/>
      <c r="L358" s="9"/>
    </row>
    <row r="359" spans="5:12" ht="13.2">
      <c r="E359" s="9"/>
      <c r="F359" s="9"/>
      <c r="L359" s="9"/>
    </row>
    <row r="360" spans="5:12" ht="13.2">
      <c r="E360" s="9"/>
      <c r="F360" s="9"/>
      <c r="L360" s="9"/>
    </row>
    <row r="361" spans="5:12" ht="13.2">
      <c r="E361" s="9"/>
      <c r="F361" s="9"/>
      <c r="L361" s="9"/>
    </row>
    <row r="362" spans="5:12" ht="13.2">
      <c r="E362" s="9"/>
      <c r="F362" s="9"/>
      <c r="L362" s="9"/>
    </row>
    <row r="363" spans="5:12" ht="13.2">
      <c r="E363" s="9"/>
      <c r="F363" s="9"/>
      <c r="L363" s="9"/>
    </row>
    <row r="364" spans="5:12" ht="13.2">
      <c r="E364" s="9"/>
      <c r="F364" s="9"/>
      <c r="L364" s="9"/>
    </row>
    <row r="365" spans="5:12" ht="13.2">
      <c r="E365" s="9"/>
      <c r="F365" s="9"/>
      <c r="L365" s="9"/>
    </row>
    <row r="366" spans="5:12" ht="13.2">
      <c r="E366" s="9"/>
      <c r="F366" s="9"/>
      <c r="L366" s="9"/>
    </row>
    <row r="367" spans="5:12" ht="13.2">
      <c r="E367" s="9"/>
      <c r="F367" s="9"/>
      <c r="L367" s="9"/>
    </row>
    <row r="368" spans="5:12" ht="13.2">
      <c r="E368" s="9"/>
      <c r="F368" s="9"/>
      <c r="L368" s="9"/>
    </row>
    <row r="369" spans="5:12" ht="13.2">
      <c r="E369" s="9"/>
      <c r="F369" s="9"/>
      <c r="L369" s="9"/>
    </row>
    <row r="370" spans="5:12" ht="13.2">
      <c r="E370" s="9"/>
      <c r="F370" s="9"/>
      <c r="L370" s="9"/>
    </row>
    <row r="371" spans="5:12" ht="13.2">
      <c r="E371" s="9"/>
      <c r="F371" s="9"/>
      <c r="L371" s="9"/>
    </row>
    <row r="372" spans="5:12" ht="13.2">
      <c r="E372" s="9"/>
      <c r="F372" s="9"/>
      <c r="L372" s="9"/>
    </row>
    <row r="373" spans="5:12" ht="13.2">
      <c r="E373" s="9"/>
      <c r="F373" s="9"/>
      <c r="L373" s="9"/>
    </row>
    <row r="374" spans="5:12" ht="13.2">
      <c r="E374" s="9"/>
      <c r="F374" s="9"/>
      <c r="L374" s="9"/>
    </row>
    <row r="375" spans="5:12" ht="13.2">
      <c r="E375" s="9"/>
      <c r="F375" s="9"/>
      <c r="L375" s="9"/>
    </row>
    <row r="376" spans="5:12" ht="13.2">
      <c r="E376" s="9"/>
      <c r="F376" s="9"/>
      <c r="L376" s="9"/>
    </row>
    <row r="377" spans="5:12" ht="13.2">
      <c r="E377" s="9"/>
      <c r="F377" s="9"/>
      <c r="L377" s="9"/>
    </row>
    <row r="378" spans="5:12" ht="13.2">
      <c r="E378" s="9"/>
      <c r="F378" s="9"/>
      <c r="L378" s="9"/>
    </row>
    <row r="379" spans="5:12" ht="13.2">
      <c r="E379" s="9"/>
      <c r="F379" s="9"/>
      <c r="L379" s="9"/>
    </row>
    <row r="380" spans="5:12" ht="13.2">
      <c r="E380" s="9"/>
      <c r="F380" s="9"/>
      <c r="L380" s="9"/>
    </row>
    <row r="381" spans="5:12" ht="13.2">
      <c r="E381" s="9"/>
      <c r="F381" s="9"/>
      <c r="L381" s="9"/>
    </row>
    <row r="382" spans="5:12" ht="13.2">
      <c r="E382" s="9"/>
      <c r="F382" s="9"/>
      <c r="L382" s="9"/>
    </row>
    <row r="383" spans="5:12" ht="13.2">
      <c r="E383" s="9"/>
      <c r="F383" s="9"/>
      <c r="L383" s="9"/>
    </row>
    <row r="384" spans="5:12" ht="13.2">
      <c r="E384" s="9"/>
      <c r="F384" s="9"/>
      <c r="L384" s="9"/>
    </row>
    <row r="385" spans="5:12" ht="13.2">
      <c r="E385" s="9"/>
      <c r="F385" s="9"/>
      <c r="L385" s="9"/>
    </row>
    <row r="386" spans="5:12" ht="13.2">
      <c r="E386" s="9"/>
      <c r="F386" s="9"/>
      <c r="L386" s="9"/>
    </row>
    <row r="387" spans="5:12" ht="13.2">
      <c r="E387" s="9"/>
      <c r="F387" s="9"/>
      <c r="L387" s="9"/>
    </row>
    <row r="388" spans="5:12" ht="13.2">
      <c r="E388" s="9"/>
      <c r="F388" s="9"/>
      <c r="L388" s="9"/>
    </row>
    <row r="389" spans="5:12" ht="13.2">
      <c r="E389" s="9"/>
      <c r="F389" s="9"/>
      <c r="L389" s="9"/>
    </row>
    <row r="390" spans="5:12" ht="13.2">
      <c r="E390" s="9"/>
      <c r="F390" s="9"/>
      <c r="L390" s="9"/>
    </row>
    <row r="391" spans="5:12" ht="13.2">
      <c r="E391" s="9"/>
      <c r="F391" s="9"/>
      <c r="L391" s="9"/>
    </row>
    <row r="392" spans="5:12" ht="13.2">
      <c r="E392" s="9"/>
      <c r="F392" s="9"/>
      <c r="L392" s="9"/>
    </row>
    <row r="393" spans="5:12" ht="13.2">
      <c r="E393" s="9"/>
      <c r="F393" s="9"/>
      <c r="L393" s="9"/>
    </row>
    <row r="394" spans="5:12" ht="13.2">
      <c r="E394" s="9"/>
      <c r="F394" s="9"/>
      <c r="L394" s="9"/>
    </row>
    <row r="395" spans="5:12" ht="13.2">
      <c r="E395" s="9"/>
      <c r="F395" s="9"/>
      <c r="L395" s="9"/>
    </row>
    <row r="396" spans="5:12" ht="13.2">
      <c r="E396" s="9"/>
      <c r="F396" s="9"/>
      <c r="L396" s="9"/>
    </row>
    <row r="397" spans="5:12" ht="13.2">
      <c r="E397" s="9"/>
      <c r="F397" s="9"/>
      <c r="L397" s="9"/>
    </row>
    <row r="398" spans="5:12" ht="13.2">
      <c r="E398" s="9"/>
      <c r="F398" s="9"/>
      <c r="L398" s="9"/>
    </row>
    <row r="399" spans="5:12" ht="13.2">
      <c r="E399" s="9"/>
      <c r="F399" s="9"/>
      <c r="L399" s="9"/>
    </row>
    <row r="400" spans="5:12" ht="13.2">
      <c r="E400" s="9"/>
      <c r="F400" s="9"/>
      <c r="L400" s="9"/>
    </row>
    <row r="401" spans="5:12" ht="13.2">
      <c r="E401" s="9"/>
      <c r="F401" s="9"/>
      <c r="L401" s="9"/>
    </row>
    <row r="402" spans="5:12" ht="13.2">
      <c r="E402" s="9"/>
      <c r="F402" s="9"/>
      <c r="L402" s="9"/>
    </row>
    <row r="403" spans="5:12" ht="13.2">
      <c r="E403" s="9"/>
      <c r="F403" s="9"/>
      <c r="L403" s="9"/>
    </row>
    <row r="404" spans="5:12" ht="13.2">
      <c r="E404" s="9"/>
      <c r="F404" s="9"/>
      <c r="L404" s="9"/>
    </row>
    <row r="405" spans="5:12" ht="13.2">
      <c r="E405" s="9"/>
      <c r="F405" s="9"/>
      <c r="L405" s="9"/>
    </row>
    <row r="406" spans="5:12" ht="13.2">
      <c r="E406" s="9"/>
      <c r="F406" s="9"/>
      <c r="L406" s="9"/>
    </row>
    <row r="407" spans="5:12" ht="13.2">
      <c r="E407" s="9"/>
      <c r="F407" s="9"/>
      <c r="L407" s="9"/>
    </row>
    <row r="408" spans="5:12" ht="13.2">
      <c r="E408" s="9"/>
      <c r="F408" s="9"/>
      <c r="L408" s="9"/>
    </row>
    <row r="409" spans="5:12" ht="13.2">
      <c r="E409" s="9"/>
      <c r="F409" s="9"/>
      <c r="L409" s="9"/>
    </row>
    <row r="410" spans="5:12" ht="13.2">
      <c r="E410" s="9"/>
      <c r="F410" s="9"/>
      <c r="L410" s="9"/>
    </row>
    <row r="411" spans="5:12" ht="13.2">
      <c r="E411" s="9"/>
      <c r="F411" s="9"/>
      <c r="L411" s="9"/>
    </row>
    <row r="412" spans="5:12" ht="13.2">
      <c r="E412" s="9"/>
      <c r="F412" s="9"/>
      <c r="L412" s="9"/>
    </row>
    <row r="413" spans="5:12" ht="13.2">
      <c r="E413" s="9"/>
      <c r="F413" s="9"/>
      <c r="L413" s="9"/>
    </row>
    <row r="414" spans="5:12" ht="13.2">
      <c r="E414" s="9"/>
      <c r="F414" s="9"/>
      <c r="L414" s="9"/>
    </row>
    <row r="415" spans="5:12" ht="13.2">
      <c r="E415" s="9"/>
      <c r="F415" s="9"/>
      <c r="L415" s="9"/>
    </row>
    <row r="416" spans="5:12" ht="13.2">
      <c r="E416" s="9"/>
      <c r="F416" s="9"/>
      <c r="L416" s="9"/>
    </row>
    <row r="417" spans="5:12" ht="13.2">
      <c r="E417" s="9"/>
      <c r="F417" s="9"/>
      <c r="L417" s="9"/>
    </row>
    <row r="418" spans="5:12" ht="13.2">
      <c r="E418" s="9"/>
      <c r="F418" s="9"/>
      <c r="L418" s="9"/>
    </row>
    <row r="419" spans="5:12" ht="13.2">
      <c r="E419" s="9"/>
      <c r="F419" s="9"/>
      <c r="L419" s="9"/>
    </row>
    <row r="420" spans="5:12" ht="13.2">
      <c r="E420" s="9"/>
      <c r="F420" s="9"/>
      <c r="L420" s="9"/>
    </row>
    <row r="421" spans="5:12" ht="13.2">
      <c r="E421" s="9"/>
      <c r="F421" s="9"/>
      <c r="L421" s="9"/>
    </row>
    <row r="422" spans="5:12" ht="13.2">
      <c r="E422" s="9"/>
      <c r="F422" s="9"/>
      <c r="L422" s="9"/>
    </row>
    <row r="423" spans="5:12" ht="13.2">
      <c r="E423" s="9"/>
      <c r="F423" s="9"/>
      <c r="L423" s="9"/>
    </row>
    <row r="424" spans="5:12" ht="13.2">
      <c r="E424" s="9"/>
      <c r="F424" s="9"/>
      <c r="L424" s="9"/>
    </row>
    <row r="425" spans="5:12" ht="13.2">
      <c r="E425" s="9"/>
      <c r="F425" s="9"/>
      <c r="L425" s="9"/>
    </row>
    <row r="426" spans="5:12" ht="13.2">
      <c r="E426" s="9"/>
      <c r="F426" s="9"/>
      <c r="L426" s="9"/>
    </row>
    <row r="427" spans="5:12" ht="13.2">
      <c r="E427" s="9"/>
      <c r="F427" s="9"/>
      <c r="L427" s="9"/>
    </row>
    <row r="428" spans="5:12" ht="13.2">
      <c r="E428" s="9"/>
      <c r="F428" s="9"/>
      <c r="L428" s="9"/>
    </row>
    <row r="429" spans="5:12" ht="13.2">
      <c r="E429" s="9"/>
      <c r="F429" s="9"/>
      <c r="L429" s="9"/>
    </row>
    <row r="430" spans="5:12" ht="13.2">
      <c r="E430" s="9"/>
      <c r="F430" s="9"/>
      <c r="L430" s="9"/>
    </row>
    <row r="431" spans="5:12" ht="13.2">
      <c r="E431" s="9"/>
      <c r="F431" s="9"/>
      <c r="L431" s="9"/>
    </row>
    <row r="432" spans="5:12" ht="13.2">
      <c r="E432" s="9"/>
      <c r="F432" s="9"/>
      <c r="L432" s="9"/>
    </row>
    <row r="433" spans="5:12" ht="13.2">
      <c r="E433" s="9"/>
      <c r="F433" s="9"/>
      <c r="L433" s="9"/>
    </row>
    <row r="434" spans="5:12" ht="13.2">
      <c r="E434" s="9"/>
      <c r="F434" s="9"/>
      <c r="L434" s="9"/>
    </row>
    <row r="435" spans="5:12" ht="13.2">
      <c r="E435" s="9"/>
      <c r="F435" s="9"/>
      <c r="L435" s="9"/>
    </row>
    <row r="436" spans="5:12" ht="13.2">
      <c r="E436" s="9"/>
      <c r="F436" s="9"/>
      <c r="L436" s="9"/>
    </row>
    <row r="437" spans="5:12" ht="13.2">
      <c r="E437" s="9"/>
      <c r="F437" s="9"/>
      <c r="L437" s="9"/>
    </row>
    <row r="438" spans="5:12" ht="13.2">
      <c r="E438" s="9"/>
      <c r="F438" s="9"/>
      <c r="L438" s="9"/>
    </row>
    <row r="439" spans="5:12" ht="13.2">
      <c r="E439" s="9"/>
      <c r="F439" s="9"/>
      <c r="L439" s="9"/>
    </row>
    <row r="440" spans="5:12" ht="13.2">
      <c r="E440" s="9"/>
      <c r="F440" s="9"/>
      <c r="L440" s="9"/>
    </row>
    <row r="441" spans="5:12" ht="13.2">
      <c r="E441" s="9"/>
      <c r="F441" s="9"/>
      <c r="L441" s="9"/>
    </row>
    <row r="442" spans="5:12" ht="13.2">
      <c r="E442" s="9"/>
      <c r="F442" s="9"/>
      <c r="L442" s="9"/>
    </row>
    <row r="443" spans="5:12" ht="13.2">
      <c r="E443" s="9"/>
      <c r="F443" s="9"/>
      <c r="L443" s="9"/>
    </row>
    <row r="444" spans="5:12" ht="13.2">
      <c r="E444" s="9"/>
      <c r="F444" s="9"/>
      <c r="L444" s="9"/>
    </row>
    <row r="445" spans="5:12" ht="13.2">
      <c r="E445" s="9"/>
      <c r="F445" s="9"/>
      <c r="L445" s="9"/>
    </row>
    <row r="446" spans="5:12" ht="13.2">
      <c r="E446" s="9"/>
      <c r="F446" s="9"/>
      <c r="L446" s="9"/>
    </row>
    <row r="447" spans="5:12" ht="13.2">
      <c r="E447" s="9"/>
      <c r="F447" s="9"/>
      <c r="L447" s="9"/>
    </row>
    <row r="448" spans="5:12" ht="13.2">
      <c r="E448" s="9"/>
      <c r="F448" s="9"/>
      <c r="L448" s="9"/>
    </row>
    <row r="449" spans="5:12" ht="13.2">
      <c r="E449" s="9"/>
      <c r="F449" s="9"/>
      <c r="L449" s="9"/>
    </row>
    <row r="450" spans="5:12" ht="13.2">
      <c r="E450" s="9"/>
      <c r="F450" s="9"/>
      <c r="L450" s="9"/>
    </row>
    <row r="451" spans="5:12" ht="13.2">
      <c r="E451" s="9"/>
      <c r="F451" s="9"/>
      <c r="L451" s="9"/>
    </row>
    <row r="452" spans="5:12" ht="13.2">
      <c r="E452" s="9"/>
      <c r="F452" s="9"/>
      <c r="L452" s="9"/>
    </row>
    <row r="453" spans="5:12" ht="13.2">
      <c r="E453" s="9"/>
      <c r="F453" s="9"/>
      <c r="L453" s="9"/>
    </row>
    <row r="454" spans="5:12" ht="13.2">
      <c r="E454" s="9"/>
      <c r="F454" s="9"/>
      <c r="L454" s="9"/>
    </row>
    <row r="455" spans="5:12" ht="13.2">
      <c r="E455" s="9"/>
      <c r="F455" s="9"/>
      <c r="L455" s="9"/>
    </row>
    <row r="456" spans="5:12" ht="13.2">
      <c r="E456" s="9"/>
      <c r="F456" s="9"/>
      <c r="L456" s="9"/>
    </row>
    <row r="457" spans="5:12" ht="13.2">
      <c r="E457" s="9"/>
      <c r="F457" s="9"/>
      <c r="L457" s="9"/>
    </row>
    <row r="458" spans="5:12" ht="13.2">
      <c r="E458" s="9"/>
      <c r="F458" s="9"/>
      <c r="L458" s="9"/>
    </row>
    <row r="459" spans="5:12" ht="13.2">
      <c r="E459" s="9"/>
      <c r="F459" s="9"/>
      <c r="L459" s="9"/>
    </row>
    <row r="460" spans="5:12" ht="13.2">
      <c r="E460" s="9"/>
      <c r="F460" s="9"/>
      <c r="L460" s="9"/>
    </row>
    <row r="461" spans="5:12" ht="13.2">
      <c r="E461" s="9"/>
      <c r="F461" s="9"/>
      <c r="L461" s="9"/>
    </row>
    <row r="462" spans="5:12" ht="13.2">
      <c r="E462" s="9"/>
      <c r="F462" s="9"/>
      <c r="L462" s="9"/>
    </row>
    <row r="463" spans="5:12" ht="13.2">
      <c r="E463" s="9"/>
      <c r="F463" s="9"/>
      <c r="L463" s="9"/>
    </row>
    <row r="464" spans="5:12" ht="13.2">
      <c r="E464" s="9"/>
      <c r="F464" s="9"/>
      <c r="L464" s="9"/>
    </row>
    <row r="465" spans="5:12" ht="13.2">
      <c r="E465" s="9"/>
      <c r="F465" s="9"/>
      <c r="L465" s="9"/>
    </row>
    <row r="466" spans="5:12" ht="13.2">
      <c r="E466" s="9"/>
      <c r="F466" s="9"/>
      <c r="L466" s="9"/>
    </row>
    <row r="467" spans="5:12" ht="13.2">
      <c r="E467" s="9"/>
      <c r="F467" s="9"/>
      <c r="L467" s="9"/>
    </row>
    <row r="468" spans="5:12" ht="13.2">
      <c r="E468" s="9"/>
      <c r="F468" s="9"/>
      <c r="L468" s="9"/>
    </row>
    <row r="469" spans="5:12" ht="13.2">
      <c r="E469" s="9"/>
      <c r="F469" s="9"/>
      <c r="L469" s="9"/>
    </row>
    <row r="470" spans="5:12" ht="13.2">
      <c r="E470" s="9"/>
      <c r="F470" s="9"/>
      <c r="L470" s="9"/>
    </row>
    <row r="471" spans="5:12" ht="13.2">
      <c r="E471" s="9"/>
      <c r="F471" s="9"/>
      <c r="L471" s="9"/>
    </row>
    <row r="472" spans="5:12" ht="13.2">
      <c r="E472" s="9"/>
      <c r="F472" s="9"/>
      <c r="L472" s="9"/>
    </row>
    <row r="473" spans="5:12" ht="13.2">
      <c r="E473" s="9"/>
      <c r="F473" s="9"/>
      <c r="L473" s="9"/>
    </row>
    <row r="474" spans="5:12" ht="13.2">
      <c r="E474" s="9"/>
      <c r="F474" s="9"/>
      <c r="L474" s="9"/>
    </row>
    <row r="475" spans="5:12" ht="13.2">
      <c r="E475" s="9"/>
      <c r="F475" s="9"/>
      <c r="L475" s="9"/>
    </row>
    <row r="476" spans="5:12" ht="13.2">
      <c r="E476" s="9"/>
      <c r="F476" s="9"/>
      <c r="L476" s="9"/>
    </row>
    <row r="477" spans="5:12" ht="13.2">
      <c r="E477" s="9"/>
      <c r="F477" s="9"/>
      <c r="L477" s="9"/>
    </row>
    <row r="478" spans="5:12" ht="13.2">
      <c r="E478" s="9"/>
      <c r="F478" s="9"/>
      <c r="L478" s="9"/>
    </row>
    <row r="479" spans="5:12" ht="13.2">
      <c r="E479" s="9"/>
      <c r="F479" s="9"/>
      <c r="L479" s="9"/>
    </row>
    <row r="480" spans="5:12" ht="13.2">
      <c r="E480" s="9"/>
      <c r="F480" s="9"/>
      <c r="L480" s="9"/>
    </row>
    <row r="481" spans="5:12" ht="13.2">
      <c r="E481" s="9"/>
      <c r="F481" s="9"/>
      <c r="L481" s="9"/>
    </row>
    <row r="482" spans="5:12" ht="13.2">
      <c r="E482" s="9"/>
      <c r="F482" s="9"/>
      <c r="L482" s="9"/>
    </row>
    <row r="483" spans="5:12" ht="13.2">
      <c r="E483" s="9"/>
      <c r="F483" s="9"/>
      <c r="L483" s="9"/>
    </row>
    <row r="484" spans="5:12" ht="13.2">
      <c r="E484" s="9"/>
      <c r="F484" s="9"/>
      <c r="L484" s="9"/>
    </row>
    <row r="485" spans="5:12" ht="13.2">
      <c r="E485" s="9"/>
      <c r="F485" s="9"/>
      <c r="L485" s="9"/>
    </row>
    <row r="486" spans="5:12" ht="13.2">
      <c r="E486" s="9"/>
      <c r="F486" s="9"/>
      <c r="L486" s="9"/>
    </row>
    <row r="487" spans="5:12" ht="13.2">
      <c r="E487" s="9"/>
      <c r="F487" s="9"/>
      <c r="L487" s="9"/>
    </row>
    <row r="488" spans="5:12" ht="13.2">
      <c r="E488" s="9"/>
      <c r="F488" s="9"/>
      <c r="L488" s="9"/>
    </row>
    <row r="489" spans="5:12" ht="13.2">
      <c r="E489" s="9"/>
      <c r="F489" s="9"/>
      <c r="L489" s="9"/>
    </row>
    <row r="490" spans="5:12" ht="13.2">
      <c r="E490" s="9"/>
      <c r="F490" s="9"/>
      <c r="L490" s="9"/>
    </row>
    <row r="491" spans="5:12" ht="13.2">
      <c r="E491" s="9"/>
      <c r="F491" s="9"/>
      <c r="L491" s="9"/>
    </row>
    <row r="492" spans="5:12" ht="13.2">
      <c r="E492" s="9"/>
      <c r="F492" s="9"/>
      <c r="L492" s="9"/>
    </row>
    <row r="493" spans="5:12" ht="13.2">
      <c r="E493" s="9"/>
      <c r="F493" s="9"/>
      <c r="L493" s="9"/>
    </row>
    <row r="494" spans="5:12" ht="13.2">
      <c r="E494" s="9"/>
      <c r="F494" s="9"/>
      <c r="L494" s="9"/>
    </row>
    <row r="495" spans="5:12" ht="13.2">
      <c r="E495" s="9"/>
      <c r="F495" s="9"/>
      <c r="L495" s="9"/>
    </row>
    <row r="496" spans="5:12" ht="13.2">
      <c r="E496" s="9"/>
      <c r="F496" s="9"/>
      <c r="L496" s="9"/>
    </row>
    <row r="497" spans="5:12" ht="13.2">
      <c r="E497" s="9"/>
      <c r="F497" s="9"/>
      <c r="L497" s="9"/>
    </row>
    <row r="498" spans="5:12" ht="13.2">
      <c r="E498" s="9"/>
      <c r="F498" s="9"/>
      <c r="L498" s="9"/>
    </row>
    <row r="499" spans="5:12" ht="13.2">
      <c r="E499" s="9"/>
      <c r="F499" s="9"/>
      <c r="L499" s="9"/>
    </row>
    <row r="500" spans="5:12" ht="13.2">
      <c r="E500" s="9"/>
      <c r="F500" s="9"/>
      <c r="L500" s="9"/>
    </row>
    <row r="501" spans="5:12" ht="13.2">
      <c r="E501" s="9"/>
      <c r="F501" s="9"/>
      <c r="L501" s="9"/>
    </row>
    <row r="502" spans="5:12" ht="13.2">
      <c r="E502" s="9"/>
      <c r="F502" s="9"/>
      <c r="L502" s="9"/>
    </row>
    <row r="503" spans="5:12" ht="13.2">
      <c r="E503" s="9"/>
      <c r="F503" s="9"/>
      <c r="L503" s="9"/>
    </row>
    <row r="504" spans="5:12" ht="13.2">
      <c r="E504" s="9"/>
      <c r="F504" s="9"/>
      <c r="L504" s="9"/>
    </row>
    <row r="505" spans="5:12" ht="13.2">
      <c r="E505" s="9"/>
      <c r="F505" s="9"/>
      <c r="L505" s="9"/>
    </row>
    <row r="506" spans="5:12" ht="13.2">
      <c r="E506" s="9"/>
      <c r="F506" s="9"/>
      <c r="L506" s="9"/>
    </row>
    <row r="507" spans="5:12" ht="13.2">
      <c r="E507" s="9"/>
      <c r="F507" s="9"/>
      <c r="L507" s="9"/>
    </row>
    <row r="508" spans="5:12" ht="13.2">
      <c r="E508" s="9"/>
      <c r="F508" s="9"/>
      <c r="L508" s="9"/>
    </row>
    <row r="509" spans="5:12" ht="13.2">
      <c r="E509" s="9"/>
      <c r="F509" s="9"/>
      <c r="L509" s="9"/>
    </row>
    <row r="510" spans="5:12" ht="13.2">
      <c r="E510" s="9"/>
      <c r="F510" s="9"/>
      <c r="L510" s="9"/>
    </row>
    <row r="511" spans="5:12" ht="13.2">
      <c r="E511" s="9"/>
      <c r="F511" s="9"/>
      <c r="L511" s="9"/>
    </row>
    <row r="512" spans="5:12" ht="13.2">
      <c r="E512" s="9"/>
      <c r="F512" s="9"/>
      <c r="L512" s="9"/>
    </row>
    <row r="513" spans="5:12" ht="13.2">
      <c r="E513" s="9"/>
      <c r="F513" s="9"/>
      <c r="L513" s="9"/>
    </row>
    <row r="514" spans="5:12" ht="13.2">
      <c r="E514" s="9"/>
      <c r="F514" s="9"/>
      <c r="L514" s="9"/>
    </row>
    <row r="515" spans="5:12" ht="13.2">
      <c r="E515" s="9"/>
      <c r="F515" s="9"/>
      <c r="L515" s="9"/>
    </row>
    <row r="516" spans="5:12" ht="13.2">
      <c r="E516" s="9"/>
      <c r="F516" s="9"/>
      <c r="L516" s="9"/>
    </row>
    <row r="517" spans="5:12" ht="13.2">
      <c r="E517" s="9"/>
      <c r="F517" s="9"/>
      <c r="L517" s="9"/>
    </row>
    <row r="518" spans="5:12" ht="13.2">
      <c r="E518" s="9"/>
      <c r="F518" s="9"/>
      <c r="L518" s="9"/>
    </row>
    <row r="519" spans="5:12" ht="13.2">
      <c r="E519" s="9"/>
      <c r="F519" s="9"/>
      <c r="L519" s="9"/>
    </row>
    <row r="520" spans="5:12" ht="13.2">
      <c r="E520" s="9"/>
      <c r="F520" s="9"/>
      <c r="L520" s="9"/>
    </row>
    <row r="521" spans="5:12" ht="13.2">
      <c r="E521" s="9"/>
      <c r="F521" s="9"/>
      <c r="L521" s="9"/>
    </row>
    <row r="522" spans="5:12" ht="13.2">
      <c r="E522" s="9"/>
      <c r="F522" s="9"/>
      <c r="L522" s="9"/>
    </row>
    <row r="523" spans="5:12" ht="13.2">
      <c r="E523" s="9"/>
      <c r="F523" s="9"/>
      <c r="L523" s="9"/>
    </row>
    <row r="524" spans="5:12" ht="13.2">
      <c r="E524" s="9"/>
      <c r="F524" s="9"/>
      <c r="L524" s="9"/>
    </row>
    <row r="525" spans="5:12" ht="13.2">
      <c r="E525" s="9"/>
      <c r="F525" s="9"/>
      <c r="L525" s="9"/>
    </row>
    <row r="526" spans="5:12" ht="13.2">
      <c r="E526" s="9"/>
      <c r="F526" s="9"/>
      <c r="L526" s="9"/>
    </row>
    <row r="527" spans="5:12" ht="13.2">
      <c r="E527" s="9"/>
      <c r="F527" s="9"/>
      <c r="L527" s="9"/>
    </row>
    <row r="528" spans="5:12" ht="13.2">
      <c r="E528" s="9"/>
      <c r="F528" s="9"/>
      <c r="L528" s="9"/>
    </row>
    <row r="529" spans="5:12" ht="13.2">
      <c r="E529" s="9"/>
      <c r="F529" s="9"/>
      <c r="L529" s="9"/>
    </row>
    <row r="530" spans="5:12" ht="13.2">
      <c r="E530" s="9"/>
      <c r="F530" s="9"/>
      <c r="L530" s="9"/>
    </row>
    <row r="531" spans="5:12" ht="13.2">
      <c r="E531" s="9"/>
      <c r="F531" s="9"/>
      <c r="L531" s="9"/>
    </row>
    <row r="532" spans="5:12" ht="13.2">
      <c r="E532" s="9"/>
      <c r="F532" s="9"/>
      <c r="L532" s="9"/>
    </row>
    <row r="533" spans="5:12" ht="13.2">
      <c r="E533" s="9"/>
      <c r="F533" s="9"/>
      <c r="L533" s="9"/>
    </row>
    <row r="534" spans="5:12" ht="13.2">
      <c r="E534" s="9"/>
      <c r="F534" s="9"/>
      <c r="L534" s="9"/>
    </row>
    <row r="535" spans="5:12" ht="13.2">
      <c r="E535" s="9"/>
      <c r="F535" s="9"/>
      <c r="L535" s="9"/>
    </row>
    <row r="536" spans="5:12" ht="13.2">
      <c r="E536" s="9"/>
      <c r="F536" s="9"/>
      <c r="L536" s="9"/>
    </row>
    <row r="537" spans="5:12" ht="13.2">
      <c r="E537" s="9"/>
      <c r="F537" s="9"/>
      <c r="L537" s="9"/>
    </row>
    <row r="538" spans="5:12" ht="13.2">
      <c r="E538" s="9"/>
      <c r="F538" s="9"/>
      <c r="L538" s="9"/>
    </row>
    <row r="539" spans="5:12" ht="13.2">
      <c r="E539" s="9"/>
      <c r="F539" s="9"/>
      <c r="L539" s="9"/>
    </row>
    <row r="540" spans="5:12" ht="13.2">
      <c r="E540" s="9"/>
      <c r="F540" s="9"/>
      <c r="L540" s="9"/>
    </row>
    <row r="541" spans="5:12" ht="13.2">
      <c r="E541" s="9"/>
      <c r="F541" s="9"/>
      <c r="L541" s="9"/>
    </row>
    <row r="542" spans="5:12" ht="13.2">
      <c r="E542" s="9"/>
      <c r="F542" s="9"/>
      <c r="L542" s="9"/>
    </row>
    <row r="543" spans="5:12" ht="13.2">
      <c r="E543" s="9"/>
      <c r="F543" s="9"/>
      <c r="L543" s="9"/>
    </row>
    <row r="544" spans="5:12" ht="13.2">
      <c r="E544" s="9"/>
      <c r="F544" s="9"/>
      <c r="L544" s="9"/>
    </row>
    <row r="545" spans="5:12" ht="13.2">
      <c r="E545" s="9"/>
      <c r="F545" s="9"/>
      <c r="L545" s="9"/>
    </row>
    <row r="546" spans="5:12" ht="13.2">
      <c r="E546" s="9"/>
      <c r="F546" s="9"/>
      <c r="L546" s="9"/>
    </row>
    <row r="547" spans="5:12" ht="13.2">
      <c r="E547" s="9"/>
      <c r="F547" s="9"/>
      <c r="L547" s="9"/>
    </row>
    <row r="548" spans="5:12" ht="13.2">
      <c r="E548" s="9"/>
      <c r="F548" s="9"/>
      <c r="L548" s="9"/>
    </row>
    <row r="549" spans="5:12" ht="13.2">
      <c r="E549" s="9"/>
      <c r="F549" s="9"/>
      <c r="L549" s="9"/>
    </row>
    <row r="550" spans="5:12" ht="13.2">
      <c r="E550" s="9"/>
      <c r="F550" s="9"/>
      <c r="L550" s="9"/>
    </row>
    <row r="551" spans="5:12" ht="13.2">
      <c r="E551" s="9"/>
      <c r="F551" s="9"/>
      <c r="L551" s="9"/>
    </row>
    <row r="552" spans="5:12" ht="13.2">
      <c r="E552" s="9"/>
      <c r="F552" s="9"/>
      <c r="L552" s="9"/>
    </row>
    <row r="553" spans="5:12" ht="13.2">
      <c r="E553" s="9"/>
      <c r="F553" s="9"/>
      <c r="L553" s="9"/>
    </row>
    <row r="554" spans="5:12" ht="13.2">
      <c r="E554" s="9"/>
      <c r="F554" s="9"/>
      <c r="L554" s="9"/>
    </row>
    <row r="555" spans="5:12" ht="13.2">
      <c r="E555" s="9"/>
      <c r="F555" s="9"/>
      <c r="L555" s="9"/>
    </row>
    <row r="556" spans="5:12" ht="13.2">
      <c r="E556" s="9"/>
      <c r="F556" s="9"/>
      <c r="L556" s="9"/>
    </row>
    <row r="557" spans="5:12" ht="13.2">
      <c r="E557" s="9"/>
      <c r="F557" s="9"/>
      <c r="L557" s="9"/>
    </row>
    <row r="558" spans="5:12" ht="13.2">
      <c r="E558" s="9"/>
      <c r="F558" s="9"/>
      <c r="L558" s="9"/>
    </row>
    <row r="559" spans="5:12" ht="13.2">
      <c r="E559" s="9"/>
      <c r="F559" s="9"/>
      <c r="L559" s="9"/>
    </row>
    <row r="560" spans="5:12" ht="13.2">
      <c r="E560" s="9"/>
      <c r="F560" s="9"/>
      <c r="L560" s="9"/>
    </row>
    <row r="561" spans="5:12" ht="13.2">
      <c r="E561" s="9"/>
      <c r="F561" s="9"/>
      <c r="L561" s="9"/>
    </row>
    <row r="562" spans="5:12" ht="13.2">
      <c r="E562" s="9"/>
      <c r="F562" s="9"/>
      <c r="L562" s="9"/>
    </row>
    <row r="563" spans="5:12" ht="13.2">
      <c r="E563" s="9"/>
      <c r="F563" s="9"/>
      <c r="L563" s="9"/>
    </row>
    <row r="564" spans="5:12" ht="13.2">
      <c r="E564" s="9"/>
      <c r="F564" s="9"/>
      <c r="L564" s="9"/>
    </row>
    <row r="565" spans="5:12" ht="13.2">
      <c r="E565" s="9"/>
      <c r="F565" s="9"/>
      <c r="L565" s="9"/>
    </row>
    <row r="566" spans="5:12" ht="13.2">
      <c r="E566" s="9"/>
      <c r="F566" s="9"/>
      <c r="L566" s="9"/>
    </row>
    <row r="567" spans="5:12" ht="13.2">
      <c r="E567" s="9"/>
      <c r="F567" s="9"/>
      <c r="L567" s="9"/>
    </row>
    <row r="568" spans="5:12" ht="13.2">
      <c r="E568" s="9"/>
      <c r="F568" s="9"/>
      <c r="L568" s="9"/>
    </row>
    <row r="569" spans="5:12" ht="13.2">
      <c r="E569" s="9"/>
      <c r="F569" s="9"/>
      <c r="L569" s="9"/>
    </row>
    <row r="570" spans="5:12" ht="13.2">
      <c r="E570" s="9"/>
      <c r="F570" s="9"/>
      <c r="L570" s="9"/>
    </row>
    <row r="571" spans="5:12" ht="13.2">
      <c r="E571" s="9"/>
      <c r="F571" s="9"/>
      <c r="L571" s="9"/>
    </row>
    <row r="572" spans="5:12" ht="13.2">
      <c r="E572" s="9"/>
      <c r="F572" s="9"/>
      <c r="L572" s="9"/>
    </row>
    <row r="573" spans="5:12" ht="13.2">
      <c r="E573" s="9"/>
      <c r="F573" s="9"/>
      <c r="L573" s="9"/>
    </row>
    <row r="574" spans="5:12" ht="13.2">
      <c r="E574" s="9"/>
      <c r="F574" s="9"/>
      <c r="L574" s="9"/>
    </row>
    <row r="575" spans="5:12" ht="13.2">
      <c r="E575" s="9"/>
      <c r="F575" s="9"/>
      <c r="L575" s="9"/>
    </row>
    <row r="576" spans="5:12" ht="13.2">
      <c r="E576" s="9"/>
      <c r="F576" s="9"/>
      <c r="L576" s="9"/>
    </row>
    <row r="577" spans="5:12" ht="13.2">
      <c r="E577" s="9"/>
      <c r="F577" s="9"/>
      <c r="L577" s="9"/>
    </row>
    <row r="578" spans="5:12" ht="13.2">
      <c r="E578" s="9"/>
      <c r="F578" s="9"/>
      <c r="L578" s="9"/>
    </row>
    <row r="579" spans="5:12" ht="13.2">
      <c r="E579" s="9"/>
      <c r="F579" s="9"/>
      <c r="L579" s="9"/>
    </row>
    <row r="580" spans="5:12" ht="13.2">
      <c r="E580" s="9"/>
      <c r="F580" s="9"/>
      <c r="L580" s="9"/>
    </row>
    <row r="581" spans="5:12" ht="13.2">
      <c r="E581" s="9"/>
      <c r="F581" s="9"/>
      <c r="L581" s="9"/>
    </row>
    <row r="582" spans="5:12" ht="13.2">
      <c r="E582" s="9"/>
      <c r="F582" s="9"/>
      <c r="L582" s="9"/>
    </row>
    <row r="583" spans="5:12" ht="13.2">
      <c r="E583" s="9"/>
      <c r="F583" s="9"/>
      <c r="L583" s="9"/>
    </row>
    <row r="584" spans="5:12" ht="13.2">
      <c r="E584" s="9"/>
      <c r="F584" s="9"/>
      <c r="L584" s="9"/>
    </row>
    <row r="585" spans="5:12" ht="13.2">
      <c r="E585" s="9"/>
      <c r="F585" s="9"/>
      <c r="L585" s="9"/>
    </row>
    <row r="586" spans="5:12" ht="13.2">
      <c r="E586" s="9"/>
      <c r="F586" s="9"/>
      <c r="L586" s="9"/>
    </row>
    <row r="587" spans="5:12" ht="13.2">
      <c r="E587" s="9"/>
      <c r="F587" s="9"/>
      <c r="L587" s="9"/>
    </row>
    <row r="588" spans="5:12" ht="13.2">
      <c r="E588" s="9"/>
      <c r="F588" s="9"/>
      <c r="L588" s="9"/>
    </row>
    <row r="589" spans="5:12" ht="13.2">
      <c r="E589" s="9"/>
      <c r="F589" s="9"/>
      <c r="L589" s="9"/>
    </row>
    <row r="590" spans="5:12" ht="13.2">
      <c r="E590" s="9"/>
      <c r="F590" s="9"/>
      <c r="L590" s="9"/>
    </row>
    <row r="591" spans="5:12" ht="13.2">
      <c r="E591" s="9"/>
      <c r="F591" s="9"/>
      <c r="L591" s="9"/>
    </row>
    <row r="592" spans="5:12" ht="13.2">
      <c r="E592" s="9"/>
      <c r="F592" s="9"/>
      <c r="L592" s="9"/>
    </row>
    <row r="593" spans="5:12" ht="13.2">
      <c r="E593" s="9"/>
      <c r="F593" s="9"/>
      <c r="L593" s="9"/>
    </row>
    <row r="594" spans="5:12" ht="13.2">
      <c r="E594" s="9"/>
      <c r="F594" s="9"/>
      <c r="L594" s="9"/>
    </row>
    <row r="595" spans="5:12" ht="13.2">
      <c r="E595" s="9"/>
      <c r="F595" s="9"/>
      <c r="L595" s="9"/>
    </row>
    <row r="596" spans="5:12" ht="13.2">
      <c r="E596" s="9"/>
      <c r="F596" s="9"/>
      <c r="L596" s="9"/>
    </row>
    <row r="597" spans="5:12" ht="13.2">
      <c r="E597" s="9"/>
      <c r="F597" s="9"/>
      <c r="L597" s="9"/>
    </row>
    <row r="598" spans="5:12" ht="13.2">
      <c r="E598" s="9"/>
      <c r="F598" s="9"/>
      <c r="L598" s="9"/>
    </row>
    <row r="599" spans="5:12" ht="13.2">
      <c r="E599" s="9"/>
      <c r="F599" s="9"/>
      <c r="L599" s="9"/>
    </row>
    <row r="600" spans="5:12" ht="13.2">
      <c r="E600" s="9"/>
      <c r="F600" s="9"/>
      <c r="L600" s="9"/>
    </row>
    <row r="601" spans="5:12" ht="13.2">
      <c r="E601" s="9"/>
      <c r="F601" s="9"/>
      <c r="L601" s="9"/>
    </row>
    <row r="602" spans="5:12" ht="13.2">
      <c r="E602" s="9"/>
      <c r="F602" s="9"/>
      <c r="L602" s="9"/>
    </row>
    <row r="603" spans="5:12" ht="13.2">
      <c r="E603" s="9"/>
      <c r="F603" s="9"/>
      <c r="L603" s="9"/>
    </row>
    <row r="604" spans="5:12" ht="13.2">
      <c r="E604" s="9"/>
      <c r="F604" s="9"/>
      <c r="L604" s="9"/>
    </row>
    <row r="605" spans="5:12" ht="13.2">
      <c r="E605" s="9"/>
      <c r="F605" s="9"/>
      <c r="L605" s="9"/>
    </row>
    <row r="606" spans="5:12" ht="13.2">
      <c r="E606" s="9"/>
      <c r="F606" s="9"/>
      <c r="L606" s="9"/>
    </row>
    <row r="607" spans="5:12" ht="13.2">
      <c r="E607" s="9"/>
      <c r="F607" s="9"/>
      <c r="L607" s="9"/>
    </row>
    <row r="608" spans="5:12" ht="13.2">
      <c r="E608" s="9"/>
      <c r="F608" s="9"/>
      <c r="L608" s="9"/>
    </row>
    <row r="609" spans="5:12" ht="13.2">
      <c r="E609" s="9"/>
      <c r="F609" s="9"/>
      <c r="L609" s="9"/>
    </row>
    <row r="610" spans="5:12" ht="13.2">
      <c r="E610" s="9"/>
      <c r="F610" s="9"/>
      <c r="L610" s="9"/>
    </row>
    <row r="611" spans="5:12" ht="13.2">
      <c r="E611" s="9"/>
      <c r="F611" s="9"/>
      <c r="L611" s="9"/>
    </row>
    <row r="612" spans="5:12" ht="13.2">
      <c r="E612" s="9"/>
      <c r="F612" s="9"/>
      <c r="L612" s="9"/>
    </row>
    <row r="613" spans="5:12" ht="13.2">
      <c r="E613" s="9"/>
      <c r="F613" s="9"/>
      <c r="L613" s="9"/>
    </row>
    <row r="614" spans="5:12" ht="13.2">
      <c r="E614" s="9"/>
      <c r="F614" s="9"/>
      <c r="L614" s="9"/>
    </row>
    <row r="615" spans="5:12" ht="13.2">
      <c r="E615" s="9"/>
      <c r="F615" s="9"/>
      <c r="L615" s="9"/>
    </row>
    <row r="616" spans="5:12" ht="13.2">
      <c r="E616" s="9"/>
      <c r="F616" s="9"/>
      <c r="L616" s="9"/>
    </row>
    <row r="617" spans="5:12" ht="13.2">
      <c r="E617" s="9"/>
      <c r="F617" s="9"/>
      <c r="L617" s="9"/>
    </row>
    <row r="618" spans="5:12" ht="13.2">
      <c r="E618" s="9"/>
      <c r="F618" s="9"/>
      <c r="L618" s="9"/>
    </row>
    <row r="619" spans="5:12" ht="13.2">
      <c r="E619" s="9"/>
      <c r="F619" s="9"/>
      <c r="L619" s="9"/>
    </row>
    <row r="620" spans="5:12" ht="13.2">
      <c r="E620" s="9"/>
      <c r="F620" s="9"/>
      <c r="L620" s="9"/>
    </row>
    <row r="621" spans="5:12" ht="13.2">
      <c r="E621" s="9"/>
      <c r="F621" s="9"/>
      <c r="L621" s="9"/>
    </row>
    <row r="622" spans="5:12" ht="13.2">
      <c r="E622" s="9"/>
      <c r="F622" s="9"/>
      <c r="L622" s="9"/>
    </row>
    <row r="623" spans="5:12" ht="13.2">
      <c r="E623" s="9"/>
      <c r="F623" s="9"/>
      <c r="L623" s="9"/>
    </row>
    <row r="624" spans="5:12" ht="13.2">
      <c r="E624" s="9"/>
      <c r="F624" s="9"/>
      <c r="L624" s="9"/>
    </row>
    <row r="625" spans="5:12" ht="13.2">
      <c r="E625" s="9"/>
      <c r="F625" s="9"/>
      <c r="L625" s="9"/>
    </row>
    <row r="626" spans="5:12" ht="13.2">
      <c r="E626" s="9"/>
      <c r="F626" s="9"/>
      <c r="L626" s="9"/>
    </row>
    <row r="627" spans="5:12" ht="13.2">
      <c r="E627" s="9"/>
      <c r="F627" s="9"/>
      <c r="L627" s="9"/>
    </row>
    <row r="628" spans="5:12" ht="13.2">
      <c r="E628" s="9"/>
      <c r="F628" s="9"/>
      <c r="L628" s="9"/>
    </row>
    <row r="629" spans="5:12" ht="13.2">
      <c r="E629" s="9"/>
      <c r="F629" s="9"/>
      <c r="L629" s="9"/>
    </row>
    <row r="630" spans="5:12" ht="13.2">
      <c r="E630" s="9"/>
      <c r="F630" s="9"/>
      <c r="L630" s="9"/>
    </row>
    <row r="631" spans="5:12" ht="13.2">
      <c r="E631" s="9"/>
      <c r="F631" s="9"/>
      <c r="L631" s="9"/>
    </row>
    <row r="632" spans="5:12" ht="13.2">
      <c r="E632" s="9"/>
      <c r="F632" s="9"/>
      <c r="L632" s="9"/>
    </row>
    <row r="633" spans="5:12" ht="13.2">
      <c r="E633" s="9"/>
      <c r="F633" s="9"/>
      <c r="L633" s="9"/>
    </row>
    <row r="634" spans="5:12" ht="13.2">
      <c r="E634" s="9"/>
      <c r="F634" s="9"/>
      <c r="L634" s="9"/>
    </row>
    <row r="635" spans="5:12" ht="13.2">
      <c r="E635" s="9"/>
      <c r="F635" s="9"/>
      <c r="L635" s="9"/>
    </row>
    <row r="636" spans="5:12" ht="13.2">
      <c r="E636" s="9"/>
      <c r="F636" s="9"/>
      <c r="L636" s="9"/>
    </row>
    <row r="637" spans="5:12" ht="13.2">
      <c r="E637" s="9"/>
      <c r="F637" s="9"/>
      <c r="L637" s="9"/>
    </row>
    <row r="638" spans="5:12" ht="13.2">
      <c r="E638" s="9"/>
      <c r="F638" s="9"/>
      <c r="L638" s="9"/>
    </row>
    <row r="639" spans="5:12" ht="13.2">
      <c r="E639" s="9"/>
      <c r="F639" s="9"/>
      <c r="L639" s="9"/>
    </row>
    <row r="640" spans="5:12" ht="13.2">
      <c r="E640" s="9"/>
      <c r="F640" s="9"/>
      <c r="L640" s="9"/>
    </row>
    <row r="641" spans="5:12" ht="13.2">
      <c r="E641" s="9"/>
      <c r="F641" s="9"/>
      <c r="L641" s="9"/>
    </row>
    <row r="642" spans="5:12" ht="13.2">
      <c r="E642" s="9"/>
      <c r="F642" s="9"/>
      <c r="L642" s="9"/>
    </row>
    <row r="643" spans="5:12" ht="13.2">
      <c r="E643" s="9"/>
      <c r="F643" s="9"/>
      <c r="L643" s="9"/>
    </row>
    <row r="644" spans="5:12" ht="13.2">
      <c r="E644" s="9"/>
      <c r="F644" s="9"/>
      <c r="L644" s="9"/>
    </row>
    <row r="645" spans="5:12" ht="13.2">
      <c r="E645" s="9"/>
      <c r="F645" s="9"/>
      <c r="L645" s="9"/>
    </row>
    <row r="646" spans="5:12" ht="13.2">
      <c r="E646" s="9"/>
      <c r="F646" s="9"/>
      <c r="L646" s="9"/>
    </row>
    <row r="647" spans="5:12" ht="13.2">
      <c r="E647" s="9"/>
      <c r="F647" s="9"/>
      <c r="L647" s="9"/>
    </row>
    <row r="648" spans="5:12" ht="13.2">
      <c r="E648" s="9"/>
      <c r="F648" s="9"/>
      <c r="L648" s="9"/>
    </row>
    <row r="649" spans="5:12" ht="13.2">
      <c r="E649" s="9"/>
      <c r="F649" s="9"/>
      <c r="L649" s="9"/>
    </row>
    <row r="650" spans="5:12" ht="13.2">
      <c r="E650" s="9"/>
      <c r="F650" s="9"/>
      <c r="L650" s="9"/>
    </row>
    <row r="651" spans="5:12" ht="13.2">
      <c r="E651" s="9"/>
      <c r="F651" s="9"/>
      <c r="L651" s="9"/>
    </row>
    <row r="652" spans="5:12" ht="13.2">
      <c r="E652" s="9"/>
      <c r="F652" s="9"/>
      <c r="L652" s="9"/>
    </row>
    <row r="653" spans="5:12" ht="13.2">
      <c r="E653" s="9"/>
      <c r="F653" s="9"/>
      <c r="L653" s="9"/>
    </row>
    <row r="654" spans="5:12" ht="13.2">
      <c r="E654" s="9"/>
      <c r="F654" s="9"/>
      <c r="L654" s="9"/>
    </row>
    <row r="655" spans="5:12" ht="13.2">
      <c r="E655" s="9"/>
      <c r="F655" s="9"/>
      <c r="L655" s="9"/>
    </row>
    <row r="656" spans="5:12" ht="13.2">
      <c r="E656" s="9"/>
      <c r="F656" s="9"/>
      <c r="L656" s="9"/>
    </row>
    <row r="657" spans="5:12" ht="13.2">
      <c r="E657" s="9"/>
      <c r="F657" s="9"/>
      <c r="L657" s="9"/>
    </row>
    <row r="658" spans="5:12" ht="13.2">
      <c r="E658" s="9"/>
      <c r="F658" s="9"/>
      <c r="L658" s="9"/>
    </row>
    <row r="659" spans="5:12" ht="13.2">
      <c r="E659" s="9"/>
      <c r="F659" s="9"/>
      <c r="L659" s="9"/>
    </row>
    <row r="660" spans="5:12" ht="13.2">
      <c r="E660" s="9"/>
      <c r="F660" s="9"/>
      <c r="L660" s="9"/>
    </row>
    <row r="661" spans="5:12" ht="13.2">
      <c r="E661" s="9"/>
      <c r="F661" s="9"/>
      <c r="L661" s="9"/>
    </row>
    <row r="662" spans="5:12" ht="13.2">
      <c r="E662" s="9"/>
      <c r="F662" s="9"/>
      <c r="L662" s="9"/>
    </row>
    <row r="663" spans="5:12" ht="13.2">
      <c r="E663" s="9"/>
      <c r="F663" s="9"/>
      <c r="L663" s="9"/>
    </row>
    <row r="664" spans="5:12" ht="13.2">
      <c r="E664" s="9"/>
      <c r="F664" s="9"/>
      <c r="L664" s="9"/>
    </row>
    <row r="665" spans="5:12" ht="13.2">
      <c r="E665" s="9"/>
      <c r="F665" s="9"/>
      <c r="L665" s="9"/>
    </row>
    <row r="666" spans="5:12" ht="13.2">
      <c r="E666" s="9"/>
      <c r="F666" s="9"/>
      <c r="L666" s="9"/>
    </row>
    <row r="667" spans="5:12" ht="13.2">
      <c r="E667" s="9"/>
      <c r="F667" s="9"/>
      <c r="L667" s="9"/>
    </row>
    <row r="668" spans="5:12" ht="13.2">
      <c r="E668" s="9"/>
      <c r="F668" s="9"/>
      <c r="L668" s="9"/>
    </row>
    <row r="669" spans="5:12" ht="13.2">
      <c r="E669" s="9"/>
      <c r="F669" s="9"/>
      <c r="L669" s="9"/>
    </row>
    <row r="670" spans="5:12" ht="13.2">
      <c r="E670" s="9"/>
      <c r="F670" s="9"/>
      <c r="L670" s="9"/>
    </row>
    <row r="671" spans="5:12" ht="13.2">
      <c r="E671" s="9"/>
      <c r="F671" s="9"/>
      <c r="L671" s="9"/>
    </row>
    <row r="672" spans="5:12" ht="13.2">
      <c r="E672" s="9"/>
      <c r="F672" s="9"/>
      <c r="L672" s="9"/>
    </row>
    <row r="673" spans="5:12" ht="13.2">
      <c r="E673" s="9"/>
      <c r="F673" s="9"/>
      <c r="L673" s="9"/>
    </row>
    <row r="674" spans="5:12" ht="13.2">
      <c r="E674" s="9"/>
      <c r="F674" s="9"/>
      <c r="L674" s="9"/>
    </row>
    <row r="675" spans="5:12" ht="13.2">
      <c r="E675" s="9"/>
      <c r="F675" s="9"/>
      <c r="L675" s="9"/>
    </row>
    <row r="676" spans="5:12" ht="13.2">
      <c r="E676" s="9"/>
      <c r="F676" s="9"/>
      <c r="L676" s="9"/>
    </row>
    <row r="677" spans="5:12" ht="13.2">
      <c r="E677" s="9"/>
      <c r="F677" s="9"/>
      <c r="L677" s="9"/>
    </row>
    <row r="678" spans="5:12" ht="13.2">
      <c r="E678" s="9"/>
      <c r="F678" s="9"/>
      <c r="L678" s="9"/>
    </row>
    <row r="679" spans="5:12" ht="13.2">
      <c r="E679" s="9"/>
      <c r="F679" s="9"/>
      <c r="L679" s="9"/>
    </row>
    <row r="680" spans="5:12" ht="13.2">
      <c r="E680" s="9"/>
      <c r="F680" s="9"/>
      <c r="L680" s="9"/>
    </row>
    <row r="681" spans="5:12" ht="13.2">
      <c r="E681" s="9"/>
      <c r="F681" s="9"/>
      <c r="L681" s="9"/>
    </row>
    <row r="682" spans="5:12" ht="13.2">
      <c r="E682" s="9"/>
      <c r="F682" s="9"/>
      <c r="L682" s="9"/>
    </row>
    <row r="683" spans="5:12" ht="13.2">
      <c r="E683" s="9"/>
      <c r="F683" s="9"/>
      <c r="L683" s="9"/>
    </row>
    <row r="684" spans="5:12" ht="13.2">
      <c r="E684" s="9"/>
      <c r="F684" s="9"/>
      <c r="L684" s="9"/>
    </row>
    <row r="685" spans="5:12" ht="13.2">
      <c r="E685" s="9"/>
      <c r="F685" s="9"/>
      <c r="L685" s="9"/>
    </row>
    <row r="686" spans="5:12" ht="13.2">
      <c r="E686" s="9"/>
      <c r="F686" s="9"/>
      <c r="L686" s="9"/>
    </row>
    <row r="687" spans="5:12" ht="13.2">
      <c r="E687" s="9"/>
      <c r="F687" s="9"/>
      <c r="L687" s="9"/>
    </row>
    <row r="688" spans="5:12" ht="13.2">
      <c r="E688" s="9"/>
      <c r="F688" s="9"/>
      <c r="L688" s="9"/>
    </row>
    <row r="689" spans="5:12" ht="13.2">
      <c r="E689" s="9"/>
      <c r="F689" s="9"/>
      <c r="L689" s="9"/>
    </row>
    <row r="690" spans="5:12" ht="13.2">
      <c r="E690" s="9"/>
      <c r="F690" s="9"/>
      <c r="L690" s="9"/>
    </row>
    <row r="691" spans="5:12" ht="13.2">
      <c r="E691" s="9"/>
      <c r="F691" s="9"/>
      <c r="L691" s="9"/>
    </row>
    <row r="692" spans="5:12" ht="13.2">
      <c r="E692" s="9"/>
      <c r="F692" s="9"/>
      <c r="L692" s="9"/>
    </row>
    <row r="693" spans="5:12" ht="13.2">
      <c r="E693" s="9"/>
      <c r="F693" s="9"/>
      <c r="L693" s="9"/>
    </row>
    <row r="694" spans="5:12" ht="13.2">
      <c r="E694" s="9"/>
      <c r="F694" s="9"/>
      <c r="L694" s="9"/>
    </row>
    <row r="695" spans="5:12" ht="13.2">
      <c r="E695" s="9"/>
      <c r="F695" s="9"/>
      <c r="L695" s="9"/>
    </row>
    <row r="696" spans="5:12" ht="13.2">
      <c r="E696" s="9"/>
      <c r="F696" s="9"/>
      <c r="L696" s="9"/>
    </row>
    <row r="697" spans="5:12" ht="13.2">
      <c r="E697" s="9"/>
      <c r="F697" s="9"/>
      <c r="L697" s="9"/>
    </row>
    <row r="698" spans="5:12" ht="13.2">
      <c r="E698" s="9"/>
      <c r="F698" s="9"/>
      <c r="L698" s="9"/>
    </row>
    <row r="699" spans="5:12" ht="13.2">
      <c r="E699" s="9"/>
      <c r="F699" s="9"/>
      <c r="L699" s="9"/>
    </row>
    <row r="700" spans="5:12" ht="13.2">
      <c r="E700" s="9"/>
      <c r="F700" s="9"/>
      <c r="L700" s="9"/>
    </row>
    <row r="701" spans="5:12" ht="13.2">
      <c r="E701" s="9"/>
      <c r="F701" s="9"/>
      <c r="L701" s="9"/>
    </row>
    <row r="702" spans="5:12" ht="13.2">
      <c r="E702" s="9"/>
      <c r="F702" s="9"/>
      <c r="L702" s="9"/>
    </row>
    <row r="703" spans="5:12" ht="13.2">
      <c r="E703" s="9"/>
      <c r="F703" s="9"/>
      <c r="L703" s="9"/>
    </row>
    <row r="704" spans="5:12" ht="13.2">
      <c r="E704" s="9"/>
      <c r="F704" s="9"/>
      <c r="L704" s="9"/>
    </row>
    <row r="705" spans="5:12" ht="13.2">
      <c r="E705" s="9"/>
      <c r="F705" s="9"/>
      <c r="L705" s="9"/>
    </row>
    <row r="706" spans="5:12" ht="13.2">
      <c r="E706" s="9"/>
      <c r="F706" s="9"/>
      <c r="L706" s="9"/>
    </row>
    <row r="707" spans="5:12" ht="13.2">
      <c r="E707" s="9"/>
      <c r="F707" s="9"/>
      <c r="L707" s="9"/>
    </row>
    <row r="708" spans="5:12" ht="13.2">
      <c r="E708" s="9"/>
      <c r="F708" s="9"/>
      <c r="L708" s="9"/>
    </row>
    <row r="709" spans="5:12" ht="13.2">
      <c r="E709" s="9"/>
      <c r="F709" s="9"/>
      <c r="L709" s="9"/>
    </row>
    <row r="710" spans="5:12" ht="13.2">
      <c r="E710" s="9"/>
      <c r="F710" s="9"/>
      <c r="L710" s="9"/>
    </row>
    <row r="711" spans="5:12" ht="13.2">
      <c r="E711" s="9"/>
      <c r="F711" s="9"/>
      <c r="L711" s="9"/>
    </row>
    <row r="712" spans="5:12" ht="13.2">
      <c r="E712" s="9"/>
      <c r="F712" s="9"/>
      <c r="L712" s="9"/>
    </row>
    <row r="713" spans="5:12" ht="13.2">
      <c r="E713" s="9"/>
      <c r="F713" s="9"/>
      <c r="L713" s="9"/>
    </row>
    <row r="714" spans="5:12" ht="13.2">
      <c r="E714" s="9"/>
      <c r="F714" s="9"/>
      <c r="L714" s="9"/>
    </row>
    <row r="715" spans="5:12" ht="13.2">
      <c r="E715" s="9"/>
      <c r="F715" s="9"/>
      <c r="L715" s="9"/>
    </row>
    <row r="716" spans="5:12" ht="13.2">
      <c r="E716" s="9"/>
      <c r="F716" s="9"/>
      <c r="L716" s="9"/>
    </row>
    <row r="717" spans="5:12" ht="13.2">
      <c r="E717" s="9"/>
      <c r="F717" s="9"/>
      <c r="L717" s="9"/>
    </row>
    <row r="718" spans="5:12" ht="13.2">
      <c r="E718" s="9"/>
      <c r="F718" s="9"/>
      <c r="L718" s="9"/>
    </row>
    <row r="719" spans="5:12" ht="13.2">
      <c r="E719" s="9"/>
      <c r="F719" s="9"/>
      <c r="L719" s="9"/>
    </row>
    <row r="720" spans="5:12" ht="13.2">
      <c r="E720" s="9"/>
      <c r="F720" s="9"/>
      <c r="L720" s="9"/>
    </row>
    <row r="721" spans="5:12" ht="13.2">
      <c r="E721" s="9"/>
      <c r="F721" s="9"/>
      <c r="L721" s="9"/>
    </row>
    <row r="722" spans="5:12" ht="13.2">
      <c r="E722" s="9"/>
      <c r="F722" s="9"/>
      <c r="L722" s="9"/>
    </row>
    <row r="723" spans="5:12" ht="13.2">
      <c r="E723" s="9"/>
      <c r="F723" s="9"/>
      <c r="L723" s="9"/>
    </row>
    <row r="724" spans="5:12" ht="13.2">
      <c r="E724" s="9"/>
      <c r="F724" s="9"/>
      <c r="L724" s="9"/>
    </row>
    <row r="725" spans="5:12" ht="13.2">
      <c r="E725" s="9"/>
      <c r="F725" s="9"/>
      <c r="L725" s="9"/>
    </row>
    <row r="726" spans="5:12" ht="13.2">
      <c r="E726" s="9"/>
      <c r="F726" s="9"/>
      <c r="L726" s="9"/>
    </row>
    <row r="727" spans="5:12" ht="13.2">
      <c r="E727" s="9"/>
      <c r="F727" s="9"/>
      <c r="L727" s="9"/>
    </row>
    <row r="728" spans="5:12" ht="13.2">
      <c r="E728" s="9"/>
      <c r="F728" s="9"/>
      <c r="L728" s="9"/>
    </row>
    <row r="729" spans="5:12" ht="13.2">
      <c r="E729" s="9"/>
      <c r="F729" s="9"/>
      <c r="L729" s="9"/>
    </row>
    <row r="730" spans="5:12" ht="13.2">
      <c r="E730" s="9"/>
      <c r="F730" s="9"/>
      <c r="L730" s="9"/>
    </row>
    <row r="731" spans="5:12" ht="13.2">
      <c r="E731" s="9"/>
      <c r="F731" s="9"/>
      <c r="L731" s="9"/>
    </row>
    <row r="732" spans="5:12" ht="13.2">
      <c r="E732" s="9"/>
      <c r="F732" s="9"/>
      <c r="L732" s="9"/>
    </row>
    <row r="733" spans="5:12" ht="13.2">
      <c r="E733" s="9"/>
      <c r="F733" s="9"/>
      <c r="L733" s="9"/>
    </row>
    <row r="734" spans="5:12" ht="13.2">
      <c r="E734" s="9"/>
      <c r="F734" s="9"/>
      <c r="L734" s="9"/>
    </row>
    <row r="735" spans="5:12" ht="13.2">
      <c r="E735" s="9"/>
      <c r="F735" s="9"/>
      <c r="L735" s="9"/>
    </row>
    <row r="736" spans="5:12" ht="13.2">
      <c r="E736" s="9"/>
      <c r="F736" s="9"/>
      <c r="L736" s="9"/>
    </row>
    <row r="737" spans="5:12" ht="13.2">
      <c r="E737" s="9"/>
      <c r="F737" s="9"/>
      <c r="L737" s="9"/>
    </row>
    <row r="738" spans="5:12" ht="13.2">
      <c r="E738" s="9"/>
      <c r="F738" s="9"/>
      <c r="L738" s="9"/>
    </row>
    <row r="739" spans="5:12" ht="13.2">
      <c r="E739" s="9"/>
      <c r="F739" s="9"/>
      <c r="L739" s="9"/>
    </row>
    <row r="740" spans="5:12" ht="13.2">
      <c r="E740" s="9"/>
      <c r="F740" s="9"/>
      <c r="L740" s="9"/>
    </row>
    <row r="741" spans="5:12" ht="13.2">
      <c r="E741" s="9"/>
      <c r="F741" s="9"/>
      <c r="L741" s="9"/>
    </row>
    <row r="742" spans="5:12" ht="13.2">
      <c r="E742" s="9"/>
      <c r="F742" s="9"/>
      <c r="L742" s="9"/>
    </row>
    <row r="743" spans="5:12" ht="13.2">
      <c r="E743" s="9"/>
      <c r="F743" s="9"/>
      <c r="L743" s="9"/>
    </row>
    <row r="744" spans="5:12" ht="13.2">
      <c r="E744" s="9"/>
      <c r="F744" s="9"/>
      <c r="L744" s="9"/>
    </row>
    <row r="745" spans="5:12" ht="13.2">
      <c r="E745" s="9"/>
      <c r="F745" s="9"/>
      <c r="L745" s="9"/>
    </row>
    <row r="746" spans="5:12" ht="13.2">
      <c r="E746" s="9"/>
      <c r="F746" s="9"/>
      <c r="L746" s="9"/>
    </row>
    <row r="747" spans="5:12" ht="13.2">
      <c r="E747" s="9"/>
      <c r="F747" s="9"/>
      <c r="L747" s="9"/>
    </row>
    <row r="748" spans="5:12" ht="13.2">
      <c r="E748" s="9"/>
      <c r="F748" s="9"/>
      <c r="L748" s="9"/>
    </row>
    <row r="749" spans="5:12" ht="13.2">
      <c r="E749" s="9"/>
      <c r="F749" s="9"/>
      <c r="L749" s="9"/>
    </row>
    <row r="750" spans="5:12" ht="13.2">
      <c r="E750" s="9"/>
      <c r="F750" s="9"/>
      <c r="L750" s="9"/>
    </row>
    <row r="751" spans="5:12" ht="13.2">
      <c r="E751" s="9"/>
      <c r="F751" s="9"/>
      <c r="L751" s="9"/>
    </row>
    <row r="752" spans="5:12" ht="13.2">
      <c r="E752" s="9"/>
      <c r="F752" s="9"/>
      <c r="L752" s="9"/>
    </row>
    <row r="753" spans="5:12" ht="13.2">
      <c r="E753" s="9"/>
      <c r="F753" s="9"/>
      <c r="L753" s="9"/>
    </row>
    <row r="754" spans="5:12" ht="13.2">
      <c r="E754" s="9"/>
      <c r="F754" s="9"/>
      <c r="L754" s="9"/>
    </row>
    <row r="755" spans="5:12" ht="13.2">
      <c r="E755" s="9"/>
      <c r="F755" s="9"/>
      <c r="L755" s="9"/>
    </row>
    <row r="756" spans="5:12" ht="13.2">
      <c r="E756" s="9"/>
      <c r="F756" s="9"/>
      <c r="L756" s="9"/>
    </row>
    <row r="757" spans="5:12" ht="13.2">
      <c r="E757" s="9"/>
      <c r="F757" s="9"/>
      <c r="L757" s="9"/>
    </row>
    <row r="758" spans="5:12" ht="13.2">
      <c r="E758" s="9"/>
      <c r="F758" s="9"/>
      <c r="L758" s="9"/>
    </row>
    <row r="759" spans="5:12" ht="13.2">
      <c r="E759" s="9"/>
      <c r="F759" s="9"/>
      <c r="L759" s="9"/>
    </row>
    <row r="760" spans="5:12" ht="13.2">
      <c r="E760" s="9"/>
      <c r="F760" s="9"/>
      <c r="L760" s="9"/>
    </row>
    <row r="761" spans="5:12" ht="13.2">
      <c r="E761" s="9"/>
      <c r="F761" s="9"/>
      <c r="L761" s="9"/>
    </row>
    <row r="762" spans="5:12" ht="13.2">
      <c r="E762" s="9"/>
      <c r="F762" s="9"/>
      <c r="L762" s="9"/>
    </row>
    <row r="763" spans="5:12" ht="13.2">
      <c r="E763" s="9"/>
      <c r="F763" s="9"/>
      <c r="L763" s="9"/>
    </row>
    <row r="764" spans="5:12" ht="13.2">
      <c r="E764" s="9"/>
      <c r="F764" s="9"/>
      <c r="L764" s="9"/>
    </row>
    <row r="765" spans="5:12" ht="13.2">
      <c r="E765" s="9"/>
      <c r="F765" s="9"/>
      <c r="L765" s="9"/>
    </row>
    <row r="766" spans="5:12" ht="13.2">
      <c r="E766" s="9"/>
      <c r="F766" s="9"/>
      <c r="L766" s="9"/>
    </row>
    <row r="767" spans="5:12" ht="13.2">
      <c r="E767" s="9"/>
      <c r="F767" s="9"/>
      <c r="L767" s="9"/>
    </row>
    <row r="768" spans="5:12" ht="13.2">
      <c r="E768" s="9"/>
      <c r="F768" s="9"/>
      <c r="L768" s="9"/>
    </row>
    <row r="769" spans="5:12" ht="13.2">
      <c r="E769" s="9"/>
      <c r="F769" s="9"/>
      <c r="L769" s="9"/>
    </row>
    <row r="770" spans="5:12" ht="13.2">
      <c r="E770" s="9"/>
      <c r="F770" s="9"/>
      <c r="L770" s="9"/>
    </row>
    <row r="771" spans="5:12" ht="13.2">
      <c r="E771" s="9"/>
      <c r="F771" s="9"/>
      <c r="L771" s="9"/>
    </row>
    <row r="772" spans="5:12" ht="13.2">
      <c r="E772" s="9"/>
      <c r="F772" s="9"/>
      <c r="L772" s="9"/>
    </row>
    <row r="773" spans="5:12" ht="13.2">
      <c r="E773" s="9"/>
      <c r="F773" s="9"/>
      <c r="L773" s="9"/>
    </row>
    <row r="774" spans="5:12" ht="13.2">
      <c r="E774" s="9"/>
      <c r="F774" s="9"/>
      <c r="L774" s="9"/>
    </row>
    <row r="775" spans="5:12" ht="13.2">
      <c r="E775" s="9"/>
      <c r="F775" s="9"/>
      <c r="L775" s="9"/>
    </row>
    <row r="776" spans="5:12" ht="13.2">
      <c r="E776" s="9"/>
      <c r="F776" s="9"/>
      <c r="L776" s="9"/>
    </row>
    <row r="777" spans="5:12" ht="13.2">
      <c r="E777" s="9"/>
      <c r="F777" s="9"/>
      <c r="L777" s="9"/>
    </row>
    <row r="778" spans="5:12" ht="13.2">
      <c r="E778" s="9"/>
      <c r="F778" s="9"/>
      <c r="L778" s="9"/>
    </row>
    <row r="779" spans="5:12" ht="13.2">
      <c r="E779" s="9"/>
      <c r="F779" s="9"/>
      <c r="L779" s="9"/>
    </row>
    <row r="780" spans="5:12" ht="13.2">
      <c r="E780" s="9"/>
      <c r="F780" s="9"/>
      <c r="L780" s="9"/>
    </row>
    <row r="781" spans="5:12" ht="13.2">
      <c r="E781" s="9"/>
      <c r="F781" s="9"/>
      <c r="L781" s="9"/>
    </row>
    <row r="782" spans="5:12" ht="13.2">
      <c r="E782" s="9"/>
      <c r="F782" s="9"/>
      <c r="L782" s="9"/>
    </row>
    <row r="783" spans="5:12" ht="13.2">
      <c r="E783" s="9"/>
      <c r="F783" s="9"/>
      <c r="L783" s="9"/>
    </row>
    <row r="784" spans="5:12" ht="13.2">
      <c r="E784" s="9"/>
      <c r="F784" s="9"/>
      <c r="L784" s="9"/>
    </row>
    <row r="785" spans="5:12" ht="13.2">
      <c r="E785" s="9"/>
      <c r="F785" s="9"/>
      <c r="L785" s="9"/>
    </row>
    <row r="786" spans="5:12" ht="13.2">
      <c r="E786" s="9"/>
      <c r="F786" s="9"/>
      <c r="L786" s="9"/>
    </row>
    <row r="787" spans="5:12" ht="13.2">
      <c r="E787" s="9"/>
      <c r="F787" s="9"/>
      <c r="L787" s="9"/>
    </row>
    <row r="788" spans="5:12" ht="13.2">
      <c r="E788" s="9"/>
      <c r="F788" s="9"/>
      <c r="L788" s="9"/>
    </row>
    <row r="789" spans="5:12" ht="13.2">
      <c r="E789" s="9"/>
      <c r="F789" s="9"/>
      <c r="L789" s="9"/>
    </row>
    <row r="790" spans="5:12" ht="13.2">
      <c r="E790" s="9"/>
      <c r="F790" s="9"/>
      <c r="L790" s="9"/>
    </row>
    <row r="791" spans="5:12" ht="13.2">
      <c r="E791" s="9"/>
      <c r="F791" s="9"/>
      <c r="L791" s="9"/>
    </row>
    <row r="792" spans="5:12" ht="13.2">
      <c r="E792" s="9"/>
      <c r="F792" s="9"/>
      <c r="L792" s="9"/>
    </row>
    <row r="793" spans="5:12" ht="13.2">
      <c r="E793" s="9"/>
      <c r="F793" s="9"/>
      <c r="L793" s="9"/>
    </row>
    <row r="794" spans="5:12" ht="13.2">
      <c r="E794" s="9"/>
      <c r="F794" s="9"/>
      <c r="L794" s="9"/>
    </row>
    <row r="795" spans="5:12" ht="13.2">
      <c r="E795" s="9"/>
      <c r="F795" s="9"/>
      <c r="L795" s="9"/>
    </row>
    <row r="796" spans="5:12" ht="13.2">
      <c r="E796" s="9"/>
      <c r="F796" s="9"/>
      <c r="L796" s="9"/>
    </row>
    <row r="797" spans="5:12" ht="13.2">
      <c r="E797" s="9"/>
      <c r="F797" s="9"/>
      <c r="L797" s="9"/>
    </row>
    <row r="798" spans="5:12" ht="13.2">
      <c r="E798" s="9"/>
      <c r="F798" s="9"/>
      <c r="L798" s="9"/>
    </row>
    <row r="799" spans="5:12" ht="13.2">
      <c r="E799" s="9"/>
      <c r="F799" s="9"/>
      <c r="L799" s="9"/>
    </row>
    <row r="800" spans="5:12" ht="13.2">
      <c r="E800" s="9"/>
      <c r="F800" s="9"/>
      <c r="L800" s="9"/>
    </row>
    <row r="801" spans="5:12" ht="13.2">
      <c r="E801" s="9"/>
      <c r="F801" s="9"/>
      <c r="L801" s="9"/>
    </row>
    <row r="802" spans="5:12" ht="13.2">
      <c r="E802" s="9"/>
      <c r="F802" s="9"/>
      <c r="L802" s="9"/>
    </row>
    <row r="803" spans="5:12" ht="13.2">
      <c r="E803" s="9"/>
      <c r="F803" s="9"/>
      <c r="L803" s="9"/>
    </row>
    <row r="804" spans="5:12" ht="13.2">
      <c r="E804" s="9"/>
      <c r="F804" s="9"/>
      <c r="L804" s="9"/>
    </row>
    <row r="805" spans="5:12" ht="13.2">
      <c r="E805" s="9"/>
      <c r="F805" s="9"/>
      <c r="L805" s="9"/>
    </row>
    <row r="806" spans="5:12" ht="13.2">
      <c r="E806" s="9"/>
      <c r="F806" s="9"/>
      <c r="L806" s="9"/>
    </row>
    <row r="807" spans="5:12" ht="13.2">
      <c r="E807" s="9"/>
      <c r="F807" s="9"/>
      <c r="L807" s="9"/>
    </row>
    <row r="808" spans="5:12" ht="13.2">
      <c r="E808" s="9"/>
      <c r="F808" s="9"/>
      <c r="L808" s="9"/>
    </row>
    <row r="809" spans="5:12" ht="13.2">
      <c r="E809" s="9"/>
      <c r="F809" s="9"/>
      <c r="L809" s="9"/>
    </row>
    <row r="810" spans="5:12" ht="13.2">
      <c r="E810" s="9"/>
      <c r="F810" s="9"/>
      <c r="L810" s="9"/>
    </row>
    <row r="811" spans="5:12" ht="13.2">
      <c r="E811" s="9"/>
      <c r="F811" s="9"/>
      <c r="L811" s="9"/>
    </row>
    <row r="812" spans="5:12" ht="13.2">
      <c r="E812" s="9"/>
      <c r="F812" s="9"/>
      <c r="L812" s="9"/>
    </row>
    <row r="813" spans="5:12" ht="13.2">
      <c r="E813" s="9"/>
      <c r="F813" s="9"/>
      <c r="L813" s="9"/>
    </row>
    <row r="814" spans="5:12" ht="13.2">
      <c r="E814" s="9"/>
      <c r="F814" s="9"/>
      <c r="L814" s="9"/>
    </row>
    <row r="815" spans="5:12" ht="13.2">
      <c r="E815" s="9"/>
      <c r="F815" s="9"/>
      <c r="L815" s="9"/>
    </row>
    <row r="816" spans="5:12" ht="13.2">
      <c r="E816" s="9"/>
      <c r="F816" s="9"/>
      <c r="L816" s="9"/>
    </row>
    <row r="817" spans="5:12" ht="13.2">
      <c r="E817" s="9"/>
      <c r="F817" s="9"/>
      <c r="L817" s="9"/>
    </row>
    <row r="818" spans="5:12" ht="13.2">
      <c r="E818" s="9"/>
      <c r="F818" s="9"/>
      <c r="L818" s="9"/>
    </row>
    <row r="819" spans="5:12" ht="13.2">
      <c r="E819" s="9"/>
      <c r="F819" s="9"/>
      <c r="L819" s="9"/>
    </row>
    <row r="820" spans="5:12" ht="13.2">
      <c r="E820" s="9"/>
      <c r="F820" s="9"/>
      <c r="L820" s="9"/>
    </row>
    <row r="821" spans="5:12" ht="13.2">
      <c r="E821" s="9"/>
      <c r="F821" s="9"/>
      <c r="L821" s="9"/>
    </row>
    <row r="822" spans="5:12" ht="13.2">
      <c r="E822" s="9"/>
      <c r="F822" s="9"/>
      <c r="L822" s="9"/>
    </row>
    <row r="823" spans="5:12" ht="13.2">
      <c r="E823" s="9"/>
      <c r="F823" s="9"/>
      <c r="L823" s="9"/>
    </row>
    <row r="824" spans="5:12" ht="13.2">
      <c r="E824" s="9"/>
      <c r="F824" s="9"/>
      <c r="L824" s="9"/>
    </row>
    <row r="825" spans="5:12" ht="13.2">
      <c r="E825" s="9"/>
      <c r="F825" s="9"/>
      <c r="L825" s="9"/>
    </row>
    <row r="826" spans="5:12" ht="13.2">
      <c r="E826" s="9"/>
      <c r="F826" s="9"/>
      <c r="L826" s="9"/>
    </row>
    <row r="827" spans="5:12" ht="13.2">
      <c r="E827" s="9"/>
      <c r="F827" s="9"/>
      <c r="L827" s="9"/>
    </row>
    <row r="828" spans="5:12" ht="13.2">
      <c r="E828" s="9"/>
      <c r="F828" s="9"/>
      <c r="L828" s="9"/>
    </row>
    <row r="829" spans="5:12" ht="13.2">
      <c r="E829" s="9"/>
      <c r="F829" s="9"/>
      <c r="L829" s="9"/>
    </row>
    <row r="830" spans="5:12" ht="13.2">
      <c r="E830" s="9"/>
      <c r="F830" s="9"/>
      <c r="L830" s="9"/>
    </row>
    <row r="831" spans="5:12" ht="13.2">
      <c r="E831" s="9"/>
      <c r="F831" s="9"/>
      <c r="L831" s="9"/>
    </row>
    <row r="832" spans="5:12" ht="13.2">
      <c r="E832" s="9"/>
      <c r="F832" s="9"/>
      <c r="L832" s="9"/>
    </row>
    <row r="833" spans="5:12" ht="13.2">
      <c r="E833" s="9"/>
      <c r="F833" s="9"/>
      <c r="L833" s="9"/>
    </row>
    <row r="834" spans="5:12" ht="13.2">
      <c r="E834" s="9"/>
      <c r="F834" s="9"/>
      <c r="L834" s="9"/>
    </row>
    <row r="835" spans="5:12" ht="13.2">
      <c r="E835" s="9"/>
      <c r="F835" s="9"/>
      <c r="L835" s="9"/>
    </row>
    <row r="836" spans="5:12" ht="13.2">
      <c r="E836" s="9"/>
      <c r="F836" s="9"/>
      <c r="L836" s="9"/>
    </row>
    <row r="837" spans="5:12" ht="13.2">
      <c r="E837" s="9"/>
      <c r="F837" s="9"/>
      <c r="L837" s="9"/>
    </row>
    <row r="838" spans="5:12" ht="13.2">
      <c r="E838" s="9"/>
      <c r="F838" s="9"/>
      <c r="L838" s="9"/>
    </row>
    <row r="839" spans="5:12" ht="13.2">
      <c r="E839" s="9"/>
      <c r="F839" s="9"/>
      <c r="L839" s="9"/>
    </row>
    <row r="840" spans="5:12" ht="13.2">
      <c r="E840" s="9"/>
      <c r="F840" s="9"/>
      <c r="L840" s="9"/>
    </row>
    <row r="841" spans="5:12" ht="13.2">
      <c r="E841" s="9"/>
      <c r="F841" s="9"/>
      <c r="L841" s="9"/>
    </row>
    <row r="842" spans="5:12" ht="13.2">
      <c r="E842" s="9"/>
      <c r="F842" s="9"/>
      <c r="L842" s="9"/>
    </row>
    <row r="843" spans="5:12" ht="13.2">
      <c r="E843" s="9"/>
      <c r="F843" s="9"/>
      <c r="L843" s="9"/>
    </row>
    <row r="844" spans="5:12" ht="13.2">
      <c r="E844" s="9"/>
      <c r="F844" s="9"/>
      <c r="L844" s="9"/>
    </row>
    <row r="845" spans="5:12" ht="13.2">
      <c r="E845" s="9"/>
      <c r="F845" s="9"/>
      <c r="L845" s="9"/>
    </row>
    <row r="846" spans="5:12" ht="13.2">
      <c r="E846" s="9"/>
      <c r="F846" s="9"/>
      <c r="L846" s="9"/>
    </row>
    <row r="847" spans="5:12" ht="13.2">
      <c r="E847" s="9"/>
      <c r="F847" s="9"/>
      <c r="L847" s="9"/>
    </row>
    <row r="848" spans="5:12" ht="13.2">
      <c r="E848" s="9"/>
      <c r="F848" s="9"/>
      <c r="L848" s="9"/>
    </row>
    <row r="849" spans="5:12" ht="13.2">
      <c r="E849" s="9"/>
      <c r="F849" s="9"/>
      <c r="L849" s="9"/>
    </row>
    <row r="850" spans="5:12" ht="13.2">
      <c r="E850" s="9"/>
      <c r="F850" s="9"/>
      <c r="L850" s="9"/>
    </row>
    <row r="851" spans="5:12" ht="13.2">
      <c r="E851" s="9"/>
      <c r="F851" s="9"/>
      <c r="L851" s="9"/>
    </row>
    <row r="852" spans="5:12" ht="13.2">
      <c r="E852" s="9"/>
      <c r="F852" s="9"/>
      <c r="L852" s="9"/>
    </row>
    <row r="853" spans="5:12" ht="13.2">
      <c r="E853" s="9"/>
      <c r="F853" s="9"/>
      <c r="L853" s="9"/>
    </row>
    <row r="854" spans="5:12" ht="13.2">
      <c r="E854" s="9"/>
      <c r="F854" s="9"/>
      <c r="L854" s="9"/>
    </row>
    <row r="855" spans="5:12" ht="13.2">
      <c r="E855" s="9"/>
      <c r="F855" s="9"/>
      <c r="L855" s="9"/>
    </row>
    <row r="856" spans="5:12" ht="13.2">
      <c r="E856" s="9"/>
      <c r="F856" s="9"/>
      <c r="L856" s="9"/>
    </row>
    <row r="857" spans="5:12" ht="13.2">
      <c r="E857" s="9"/>
      <c r="F857" s="9"/>
      <c r="L857" s="9"/>
    </row>
    <row r="858" spans="5:12" ht="13.2">
      <c r="E858" s="9"/>
      <c r="F858" s="9"/>
      <c r="L858" s="9"/>
    </row>
    <row r="859" spans="5:12" ht="13.2">
      <c r="E859" s="9"/>
      <c r="F859" s="9"/>
      <c r="L859" s="9"/>
    </row>
    <row r="860" spans="5:12" ht="13.2">
      <c r="E860" s="9"/>
      <c r="F860" s="9"/>
      <c r="L860" s="9"/>
    </row>
    <row r="861" spans="5:12" ht="13.2">
      <c r="E861" s="9"/>
      <c r="F861" s="9"/>
      <c r="L861" s="9"/>
    </row>
    <row r="862" spans="5:12" ht="13.2">
      <c r="E862" s="9"/>
      <c r="F862" s="9"/>
      <c r="L862" s="9"/>
    </row>
    <row r="863" spans="5:12" ht="13.2">
      <c r="E863" s="9"/>
      <c r="F863" s="9"/>
      <c r="L863" s="9"/>
    </row>
    <row r="864" spans="5:12" ht="13.2">
      <c r="E864" s="9"/>
      <c r="F864" s="9"/>
      <c r="L864" s="9"/>
    </row>
    <row r="865" spans="5:12" ht="13.2">
      <c r="E865" s="9"/>
      <c r="F865" s="9"/>
      <c r="L865" s="9"/>
    </row>
    <row r="866" spans="5:12" ht="13.2">
      <c r="E866" s="9"/>
      <c r="F866" s="9"/>
      <c r="L866" s="9"/>
    </row>
    <row r="867" spans="5:12" ht="13.2">
      <c r="E867" s="9"/>
      <c r="F867" s="9"/>
      <c r="L867" s="9"/>
    </row>
    <row r="868" spans="5:12" ht="13.2">
      <c r="E868" s="9"/>
      <c r="F868" s="9"/>
      <c r="L868" s="9"/>
    </row>
    <row r="869" spans="5:12" ht="13.2">
      <c r="E869" s="9"/>
      <c r="F869" s="9"/>
      <c r="L869" s="9"/>
    </row>
    <row r="870" spans="5:12" ht="13.2">
      <c r="E870" s="9"/>
      <c r="F870" s="9"/>
      <c r="L870" s="9"/>
    </row>
    <row r="871" spans="5:12" ht="13.2">
      <c r="E871" s="9"/>
      <c r="F871" s="9"/>
      <c r="L871" s="9"/>
    </row>
    <row r="872" spans="5:12" ht="13.2">
      <c r="E872" s="9"/>
      <c r="F872" s="9"/>
      <c r="L872" s="9"/>
    </row>
    <row r="873" spans="5:12" ht="13.2">
      <c r="E873" s="9"/>
      <c r="F873" s="9"/>
      <c r="L873" s="9"/>
    </row>
    <row r="874" spans="5:12" ht="13.2">
      <c r="E874" s="9"/>
      <c r="F874" s="9"/>
      <c r="L874" s="9"/>
    </row>
    <row r="875" spans="5:12" ht="13.2">
      <c r="E875" s="9"/>
      <c r="F875" s="9"/>
      <c r="L875" s="9"/>
    </row>
    <row r="876" spans="5:12" ht="13.2">
      <c r="E876" s="9"/>
      <c r="F876" s="9"/>
      <c r="L876" s="9"/>
    </row>
    <row r="877" spans="5:12" ht="13.2">
      <c r="E877" s="9"/>
      <c r="F877" s="9"/>
      <c r="L877" s="9"/>
    </row>
    <row r="878" spans="5:12" ht="13.2">
      <c r="E878" s="9"/>
      <c r="F878" s="9"/>
      <c r="L878" s="9"/>
    </row>
    <row r="879" spans="5:12" ht="13.2">
      <c r="E879" s="9"/>
      <c r="F879" s="9"/>
      <c r="L879" s="9"/>
    </row>
    <row r="880" spans="5:12" ht="13.2">
      <c r="E880" s="9"/>
      <c r="F880" s="9"/>
      <c r="L880" s="9"/>
    </row>
    <row r="881" spans="5:12" ht="13.2">
      <c r="E881" s="9"/>
      <c r="F881" s="9"/>
      <c r="L881" s="9"/>
    </row>
    <row r="882" spans="5:12" ht="13.2">
      <c r="E882" s="9"/>
      <c r="F882" s="9"/>
      <c r="L882" s="9"/>
    </row>
    <row r="883" spans="5:12" ht="13.2">
      <c r="E883" s="9"/>
      <c r="F883" s="9"/>
      <c r="L883" s="9"/>
    </row>
    <row r="884" spans="5:12" ht="13.2">
      <c r="E884" s="9"/>
      <c r="F884" s="9"/>
      <c r="L884" s="9"/>
    </row>
    <row r="885" spans="5:12" ht="13.2">
      <c r="E885" s="9"/>
      <c r="F885" s="9"/>
      <c r="L885" s="9"/>
    </row>
    <row r="886" spans="5:12" ht="13.2">
      <c r="E886" s="9"/>
      <c r="F886" s="9"/>
      <c r="L886" s="9"/>
    </row>
    <row r="887" spans="5:12" ht="13.2">
      <c r="E887" s="9"/>
      <c r="F887" s="9"/>
      <c r="L887" s="9"/>
    </row>
    <row r="888" spans="5:12" ht="13.2">
      <c r="E888" s="9"/>
      <c r="F888" s="9"/>
      <c r="L888" s="9"/>
    </row>
    <row r="889" spans="5:12" ht="13.2">
      <c r="E889" s="9"/>
      <c r="F889" s="9"/>
      <c r="L889" s="9"/>
    </row>
    <row r="890" spans="5:12" ht="13.2">
      <c r="E890" s="9"/>
      <c r="F890" s="9"/>
      <c r="L890" s="9"/>
    </row>
    <row r="891" spans="5:12" ht="13.2">
      <c r="E891" s="9"/>
      <c r="F891" s="9"/>
      <c r="L891" s="9"/>
    </row>
    <row r="892" spans="5:12" ht="13.2">
      <c r="E892" s="9"/>
      <c r="F892" s="9"/>
      <c r="L892" s="9"/>
    </row>
    <row r="893" spans="5:12" ht="13.2">
      <c r="E893" s="9"/>
      <c r="F893" s="9"/>
      <c r="L893" s="9"/>
    </row>
    <row r="894" spans="5:12" ht="13.2">
      <c r="E894" s="9"/>
      <c r="F894" s="9"/>
      <c r="L894" s="9"/>
    </row>
    <row r="895" spans="5:12" ht="13.2">
      <c r="E895" s="9"/>
      <c r="F895" s="9"/>
      <c r="L895" s="9"/>
    </row>
    <row r="896" spans="5:12" ht="13.2">
      <c r="E896" s="9"/>
      <c r="F896" s="9"/>
      <c r="L896" s="9"/>
    </row>
    <row r="897" spans="5:12" ht="13.2">
      <c r="E897" s="9"/>
      <c r="F897" s="9"/>
      <c r="L897" s="9"/>
    </row>
    <row r="898" spans="5:12" ht="13.2">
      <c r="E898" s="9"/>
      <c r="F898" s="9"/>
      <c r="L898" s="9"/>
    </row>
    <row r="899" spans="5:12" ht="13.2">
      <c r="E899" s="9"/>
      <c r="F899" s="9"/>
      <c r="L899" s="9"/>
    </row>
    <row r="900" spans="5:12" ht="13.2">
      <c r="E900" s="9"/>
      <c r="F900" s="9"/>
      <c r="L900" s="9"/>
    </row>
    <row r="901" spans="5:12" ht="13.2">
      <c r="E901" s="9"/>
      <c r="F901" s="9"/>
      <c r="L901" s="9"/>
    </row>
    <row r="902" spans="5:12" ht="13.2">
      <c r="E902" s="9"/>
      <c r="F902" s="9"/>
      <c r="L902" s="9"/>
    </row>
    <row r="903" spans="5:12" ht="13.2">
      <c r="E903" s="9"/>
      <c r="F903" s="9"/>
      <c r="L903" s="9"/>
    </row>
    <row r="904" spans="5:12" ht="13.2">
      <c r="E904" s="9"/>
      <c r="F904" s="9"/>
      <c r="L904" s="9"/>
    </row>
    <row r="905" spans="5:12" ht="13.2">
      <c r="E905" s="9"/>
      <c r="F905" s="9"/>
      <c r="L905" s="9"/>
    </row>
    <row r="906" spans="5:12" ht="13.2">
      <c r="E906" s="9"/>
      <c r="F906" s="9"/>
      <c r="L906" s="9"/>
    </row>
    <row r="907" spans="5:12" ht="13.2">
      <c r="E907" s="9"/>
      <c r="F907" s="9"/>
      <c r="L907" s="9"/>
    </row>
    <row r="908" spans="5:12" ht="13.2">
      <c r="E908" s="9"/>
      <c r="F908" s="9"/>
      <c r="L908" s="9"/>
    </row>
    <row r="909" spans="5:12" ht="13.2">
      <c r="E909" s="9"/>
      <c r="F909" s="9"/>
      <c r="L909" s="9"/>
    </row>
    <row r="910" spans="5:12" ht="13.2">
      <c r="E910" s="9"/>
      <c r="F910" s="9"/>
      <c r="L910" s="9"/>
    </row>
    <row r="911" spans="5:12" ht="13.2">
      <c r="E911" s="9"/>
      <c r="F911" s="9"/>
      <c r="L911" s="9"/>
    </row>
    <row r="912" spans="5:12" ht="13.2">
      <c r="E912" s="9"/>
      <c r="F912" s="9"/>
      <c r="L912" s="9"/>
    </row>
    <row r="913" spans="5:12" ht="13.2">
      <c r="E913" s="9"/>
      <c r="F913" s="9"/>
      <c r="L913" s="9"/>
    </row>
    <row r="914" spans="5:12" ht="13.2">
      <c r="E914" s="9"/>
      <c r="F914" s="9"/>
      <c r="L914" s="9"/>
    </row>
    <row r="915" spans="5:12" ht="13.2">
      <c r="E915" s="9"/>
      <c r="F915" s="9"/>
      <c r="L915" s="9"/>
    </row>
    <row r="916" spans="5:12" ht="13.2">
      <c r="E916" s="9"/>
      <c r="F916" s="9"/>
      <c r="L916" s="9"/>
    </row>
    <row r="917" spans="5:12" ht="13.2">
      <c r="E917" s="9"/>
      <c r="F917" s="9"/>
      <c r="L917" s="9"/>
    </row>
    <row r="918" spans="5:12" ht="13.2">
      <c r="E918" s="9"/>
      <c r="F918" s="9"/>
      <c r="L918" s="9"/>
    </row>
    <row r="919" spans="5:12" ht="13.2">
      <c r="E919" s="9"/>
      <c r="F919" s="9"/>
      <c r="L919" s="9"/>
    </row>
    <row r="920" spans="5:12" ht="13.2">
      <c r="E920" s="9"/>
      <c r="F920" s="9"/>
      <c r="L920" s="9"/>
    </row>
    <row r="921" spans="5:12" ht="13.2">
      <c r="E921" s="9"/>
      <c r="F921" s="9"/>
      <c r="L921" s="9"/>
    </row>
    <row r="922" spans="5:12" ht="13.2">
      <c r="E922" s="9"/>
      <c r="F922" s="9"/>
      <c r="L922" s="9"/>
    </row>
    <row r="923" spans="5:12" ht="13.2">
      <c r="E923" s="9"/>
      <c r="F923" s="9"/>
      <c r="L923" s="9"/>
    </row>
    <row r="924" spans="5:12" ht="13.2">
      <c r="E924" s="9"/>
      <c r="F924" s="9"/>
      <c r="L924" s="9"/>
    </row>
    <row r="925" spans="5:12" ht="13.2">
      <c r="E925" s="9"/>
      <c r="F925" s="9"/>
      <c r="L925" s="9"/>
    </row>
    <row r="926" spans="5:12" ht="13.2">
      <c r="E926" s="9"/>
      <c r="F926" s="9"/>
      <c r="L926" s="9"/>
    </row>
    <row r="927" spans="5:12" ht="13.2">
      <c r="E927" s="9"/>
      <c r="F927" s="9"/>
      <c r="L927" s="9"/>
    </row>
    <row r="928" spans="5:12" ht="13.2">
      <c r="E928" s="9"/>
      <c r="F928" s="9"/>
      <c r="L928" s="9"/>
    </row>
    <row r="929" spans="5:12" ht="13.2">
      <c r="E929" s="9"/>
      <c r="F929" s="9"/>
      <c r="L929" s="9"/>
    </row>
    <row r="930" spans="5:12" ht="13.2">
      <c r="E930" s="9"/>
      <c r="F930" s="9"/>
      <c r="L930" s="9"/>
    </row>
    <row r="931" spans="5:12" ht="13.2">
      <c r="E931" s="9"/>
      <c r="F931" s="9"/>
      <c r="L931" s="9"/>
    </row>
    <row r="932" spans="5:12" ht="13.2">
      <c r="E932" s="9"/>
      <c r="F932" s="9"/>
      <c r="L932" s="9"/>
    </row>
    <row r="933" spans="5:12" ht="13.2">
      <c r="E933" s="9"/>
      <c r="F933" s="9"/>
      <c r="L933" s="9"/>
    </row>
    <row r="934" spans="5:12" ht="13.2">
      <c r="E934" s="9"/>
      <c r="F934" s="9"/>
      <c r="L934" s="9"/>
    </row>
    <row r="935" spans="5:12" ht="13.2">
      <c r="E935" s="9"/>
      <c r="F935" s="9"/>
      <c r="L935" s="9"/>
    </row>
    <row r="936" spans="5:12" ht="13.2">
      <c r="E936" s="9"/>
      <c r="F936" s="9"/>
      <c r="L936" s="9"/>
    </row>
    <row r="937" spans="5:12" ht="13.2">
      <c r="E937" s="9"/>
      <c r="F937" s="9"/>
      <c r="L937" s="9"/>
    </row>
    <row r="938" spans="5:12" ht="13.2">
      <c r="E938" s="9"/>
      <c r="F938" s="9"/>
      <c r="L938" s="9"/>
    </row>
    <row r="939" spans="5:12" ht="13.2">
      <c r="E939" s="9"/>
      <c r="F939" s="9"/>
      <c r="L939" s="9"/>
    </row>
    <row r="940" spans="5:12" ht="13.2">
      <c r="E940" s="9"/>
      <c r="F940" s="9"/>
      <c r="L940" s="9"/>
    </row>
    <row r="941" spans="5:12" ht="13.2">
      <c r="E941" s="9"/>
      <c r="F941" s="9"/>
      <c r="L941" s="9"/>
    </row>
    <row r="942" spans="5:12" ht="13.2">
      <c r="E942" s="9"/>
      <c r="F942" s="9"/>
      <c r="L942" s="9"/>
    </row>
    <row r="943" spans="5:12" ht="13.2">
      <c r="E943" s="9"/>
      <c r="F943" s="9"/>
      <c r="L943" s="9"/>
    </row>
    <row r="944" spans="5:12" ht="13.2">
      <c r="E944" s="9"/>
      <c r="F944" s="9"/>
      <c r="L944" s="9"/>
    </row>
    <row r="945" spans="5:12" ht="13.2">
      <c r="E945" s="9"/>
      <c r="F945" s="9"/>
      <c r="L945" s="9"/>
    </row>
    <row r="946" spans="5:12" ht="13.2">
      <c r="E946" s="9"/>
      <c r="F946" s="9"/>
      <c r="L946" s="9"/>
    </row>
    <row r="947" spans="5:12" ht="13.2">
      <c r="E947" s="9"/>
      <c r="F947" s="9"/>
      <c r="L947" s="9"/>
    </row>
    <row r="948" spans="5:12" ht="13.2">
      <c r="E948" s="9"/>
      <c r="F948" s="9"/>
      <c r="L948" s="9"/>
    </row>
    <row r="949" spans="5:12" ht="13.2">
      <c r="E949" s="9"/>
      <c r="F949" s="9"/>
      <c r="L949" s="9"/>
    </row>
    <row r="950" spans="5:12" ht="13.2">
      <c r="E950" s="9"/>
      <c r="F950" s="9"/>
      <c r="L950" s="9"/>
    </row>
    <row r="951" spans="5:12" ht="13.2">
      <c r="E951" s="9"/>
      <c r="F951" s="9"/>
      <c r="L951" s="9"/>
    </row>
    <row r="952" spans="5:12" ht="13.2">
      <c r="E952" s="9"/>
      <c r="F952" s="9"/>
      <c r="L952" s="9"/>
    </row>
    <row r="953" spans="5:12" ht="13.2">
      <c r="E953" s="9"/>
      <c r="F953" s="9"/>
      <c r="L953" s="9"/>
    </row>
    <row r="954" spans="5:12" ht="13.2">
      <c r="E954" s="9"/>
      <c r="F954" s="9"/>
      <c r="L954" s="9"/>
    </row>
    <row r="955" spans="5:12" ht="13.2">
      <c r="E955" s="9"/>
      <c r="F955" s="9"/>
      <c r="L955" s="9"/>
    </row>
    <row r="956" spans="5:12" ht="13.2">
      <c r="E956" s="9"/>
      <c r="F956" s="9"/>
      <c r="L956" s="9"/>
    </row>
    <row r="957" spans="5:12" ht="13.2">
      <c r="E957" s="9"/>
      <c r="F957" s="9"/>
      <c r="L957" s="9"/>
    </row>
    <row r="958" spans="5:12" ht="13.2">
      <c r="E958" s="9"/>
      <c r="F958" s="9"/>
      <c r="L958" s="9"/>
    </row>
    <row r="959" spans="5:12" ht="13.2">
      <c r="E959" s="9"/>
      <c r="F959" s="9"/>
      <c r="L959" s="9"/>
    </row>
    <row r="960" spans="5:12" ht="13.2">
      <c r="E960" s="9"/>
      <c r="F960" s="9"/>
      <c r="L960" s="9"/>
    </row>
    <row r="961" spans="5:12" ht="13.2">
      <c r="E961" s="9"/>
      <c r="F961" s="9"/>
      <c r="L961" s="9"/>
    </row>
    <row r="962" spans="5:12" ht="13.2">
      <c r="E962" s="9"/>
      <c r="F962" s="9"/>
      <c r="L962" s="9"/>
    </row>
    <row r="963" spans="5:12" ht="13.2">
      <c r="E963" s="9"/>
      <c r="F963" s="9"/>
      <c r="L963" s="9"/>
    </row>
    <row r="964" spans="5:12" ht="13.2">
      <c r="E964" s="9"/>
      <c r="F964" s="9"/>
      <c r="L964" s="9"/>
    </row>
    <row r="965" spans="5:12" ht="13.2">
      <c r="E965" s="9"/>
      <c r="F965" s="9"/>
      <c r="L965" s="9"/>
    </row>
    <row r="966" spans="5:12" ht="13.2">
      <c r="E966" s="9"/>
      <c r="F966" s="9"/>
      <c r="L966" s="9"/>
    </row>
    <row r="967" spans="5:12" ht="13.2">
      <c r="E967" s="9"/>
      <c r="F967" s="9"/>
      <c r="L967" s="9"/>
    </row>
    <row r="968" spans="5:12" ht="13.2">
      <c r="E968" s="9"/>
      <c r="F968" s="9"/>
      <c r="L968" s="9"/>
    </row>
    <row r="969" spans="5:12" ht="13.2">
      <c r="E969" s="9"/>
      <c r="F969" s="9"/>
      <c r="L969" s="9"/>
    </row>
    <row r="970" spans="5:12" ht="13.2">
      <c r="E970" s="9"/>
      <c r="F970" s="9"/>
      <c r="L970" s="9"/>
    </row>
    <row r="971" spans="5:12" ht="13.2">
      <c r="E971" s="9"/>
      <c r="F971" s="9"/>
      <c r="L971" s="9"/>
    </row>
    <row r="972" spans="5:12" ht="13.2">
      <c r="E972" s="9"/>
      <c r="F972" s="9"/>
      <c r="L972" s="9"/>
    </row>
    <row r="973" spans="5:12" ht="13.2">
      <c r="E973" s="9"/>
      <c r="F973" s="9"/>
      <c r="L973" s="9"/>
    </row>
    <row r="974" spans="5:12" ht="13.2">
      <c r="E974" s="9"/>
      <c r="F974" s="9"/>
      <c r="L974" s="9"/>
    </row>
    <row r="975" spans="5:12" ht="13.2">
      <c r="E975" s="9"/>
      <c r="F975" s="9"/>
      <c r="L975" s="9"/>
    </row>
    <row r="976" spans="5:12" ht="13.2">
      <c r="E976" s="9"/>
      <c r="F976" s="9"/>
      <c r="L976" s="9"/>
    </row>
    <row r="977" spans="5:12" ht="13.2">
      <c r="E977" s="9"/>
      <c r="F977" s="9"/>
      <c r="L977" s="9"/>
    </row>
    <row r="978" spans="5:12" ht="13.2">
      <c r="E978" s="9"/>
      <c r="F978" s="9"/>
      <c r="L978" s="9"/>
    </row>
    <row r="979" spans="5:12" ht="13.2">
      <c r="E979" s="9"/>
      <c r="F979" s="9"/>
      <c r="L979" s="9"/>
    </row>
    <row r="980" spans="5:12" ht="13.2">
      <c r="E980" s="9"/>
      <c r="F980" s="9"/>
      <c r="L980" s="9"/>
    </row>
    <row r="981" spans="5:12" ht="13.2">
      <c r="E981" s="9"/>
      <c r="F981" s="9"/>
      <c r="L981" s="9"/>
    </row>
    <row r="982" spans="5:12" ht="13.2">
      <c r="E982" s="9"/>
      <c r="F982" s="9"/>
      <c r="L982" s="9"/>
    </row>
    <row r="983" spans="5:12" ht="13.2">
      <c r="E983" s="9"/>
      <c r="F983" s="9"/>
      <c r="L983" s="9"/>
    </row>
    <row r="984" spans="5:12" ht="13.2">
      <c r="E984" s="9"/>
      <c r="F984" s="9"/>
      <c r="L984" s="9"/>
    </row>
    <row r="985" spans="5:12" ht="13.2">
      <c r="E985" s="9"/>
      <c r="F985" s="9"/>
      <c r="L985" s="9"/>
    </row>
    <row r="986" spans="5:12" ht="13.2">
      <c r="E986" s="9"/>
      <c r="F986" s="9"/>
      <c r="L986" s="9"/>
    </row>
    <row r="987" spans="5:12" ht="13.2">
      <c r="E987" s="9"/>
      <c r="F987" s="9"/>
      <c r="L987" s="9"/>
    </row>
    <row r="988" spans="5:12" ht="13.2">
      <c r="E988" s="9"/>
      <c r="F988" s="9"/>
      <c r="L988" s="9"/>
    </row>
    <row r="989" spans="5:12" ht="13.2">
      <c r="E989" s="9"/>
      <c r="F989" s="9"/>
      <c r="L989" s="9"/>
    </row>
    <row r="990" spans="5:12" ht="13.2">
      <c r="E990" s="9"/>
      <c r="F990" s="9"/>
      <c r="L990" s="9"/>
    </row>
    <row r="991" spans="5:12" ht="13.2">
      <c r="E991" s="9"/>
      <c r="F991" s="9"/>
      <c r="L991" s="9"/>
    </row>
    <row r="992" spans="5:12" ht="13.2">
      <c r="E992" s="9"/>
      <c r="F992" s="9"/>
      <c r="L992" s="9"/>
    </row>
    <row r="993" spans="5:12" ht="13.2">
      <c r="E993" s="9"/>
      <c r="F993" s="9"/>
      <c r="L993" s="9"/>
    </row>
    <row r="994" spans="5:12" ht="13.2">
      <c r="E994" s="9"/>
      <c r="F994" s="9"/>
      <c r="L994" s="9"/>
    </row>
    <row r="995" spans="5:12" ht="13.2">
      <c r="E995" s="9"/>
      <c r="F995" s="9"/>
      <c r="L995" s="9"/>
    </row>
    <row r="996" spans="5:12" ht="13.2">
      <c r="E996" s="9"/>
      <c r="F996" s="9"/>
      <c r="L996" s="9"/>
    </row>
    <row r="997" spans="5:12" ht="13.2">
      <c r="E997" s="9"/>
      <c r="F997" s="9"/>
      <c r="L997" s="9"/>
    </row>
    <row r="998" spans="5:12" ht="13.2">
      <c r="E998" s="9"/>
      <c r="F998" s="9"/>
      <c r="L998" s="9"/>
    </row>
    <row r="999" spans="5:12" ht="15.75" customHeight="1">
      <c r="E999" s="9"/>
      <c r="F999" s="9"/>
      <c r="L999" s="9"/>
    </row>
    <row r="1000" spans="5:12" ht="15.75" customHeight="1">
      <c r="E1000" s="9"/>
      <c r="F1000" s="9"/>
      <c r="L1000" s="9"/>
    </row>
    <row r="1001" spans="5:12" ht="15.75" customHeight="1">
      <c r="E1001" s="9"/>
      <c r="F1001" s="9"/>
      <c r="L1001" s="9"/>
    </row>
    <row r="1002" spans="5:12" ht="15.75" customHeight="1">
      <c r="E1002" s="9"/>
      <c r="F1002" s="9"/>
      <c r="L1002" s="9"/>
    </row>
    <row r="1003" spans="5:12" ht="15.75" customHeight="1">
      <c r="E1003" s="9"/>
      <c r="F1003" s="9"/>
      <c r="L1003" s="9"/>
    </row>
    <row r="1004" spans="5:12" ht="15.75" customHeight="1">
      <c r="E1004" s="9"/>
      <c r="F1004" s="9"/>
      <c r="L1004" s="9"/>
    </row>
    <row r="1005" spans="5:12" ht="15.75" customHeight="1">
      <c r="E1005" s="9"/>
      <c r="F1005" s="9"/>
      <c r="L1005" s="9"/>
    </row>
    <row r="1006" spans="5:12" ht="15.75" customHeight="1">
      <c r="E1006" s="9"/>
      <c r="F1006" s="9"/>
      <c r="L1006" s="9"/>
    </row>
    <row r="1007" spans="5:12" ht="15.75" customHeight="1">
      <c r="E1007" s="9"/>
      <c r="F1007" s="9"/>
      <c r="L1007" s="9"/>
    </row>
    <row r="1008" spans="5:12" ht="15.75" customHeight="1">
      <c r="E1008" s="9"/>
      <c r="F1008" s="9"/>
      <c r="L1008" s="9"/>
    </row>
    <row r="1009" spans="5:12" ht="15.75" customHeight="1">
      <c r="E1009" s="9"/>
      <c r="F1009" s="9"/>
      <c r="L1009" s="9"/>
    </row>
    <row r="1010" spans="5:12" ht="15.75" customHeight="1">
      <c r="E1010" s="9"/>
      <c r="F1010" s="9"/>
      <c r="L1010" s="9"/>
    </row>
    <row r="1011" spans="5:12" ht="15.75" customHeight="1">
      <c r="E1011" s="9"/>
      <c r="F1011" s="9"/>
      <c r="L1011" s="9"/>
    </row>
    <row r="1012" spans="5:12" ht="15.75" customHeight="1">
      <c r="E1012" s="9"/>
      <c r="F1012" s="9"/>
      <c r="L1012" s="9"/>
    </row>
    <row r="1013" spans="5:12" ht="15.75" customHeight="1">
      <c r="E1013" s="9"/>
      <c r="F1013" s="9"/>
      <c r="L1013" s="9"/>
    </row>
    <row r="1014" spans="5:12" ht="15.75" customHeight="1">
      <c r="E1014" s="9"/>
      <c r="F1014" s="9"/>
      <c r="L1014" s="9"/>
    </row>
    <row r="1015" spans="5:12" ht="15.75" customHeight="1">
      <c r="E1015" s="9"/>
      <c r="F1015" s="9"/>
      <c r="L1015" s="9"/>
    </row>
    <row r="1016" spans="5:12" ht="15.75" customHeight="1">
      <c r="E1016" s="9"/>
      <c r="F1016" s="9"/>
      <c r="L1016" s="9"/>
    </row>
    <row r="1017" spans="5:12" ht="15.75" customHeight="1">
      <c r="E1017" s="9"/>
      <c r="F1017" s="9"/>
      <c r="L1017" s="9"/>
    </row>
    <row r="1018" spans="5:12" ht="15.75" customHeight="1">
      <c r="E1018" s="9"/>
      <c r="F1018" s="9"/>
      <c r="L1018" s="9"/>
    </row>
  </sheetData>
  <mergeCells count="238">
    <mergeCell ref="J150:J151"/>
    <mergeCell ref="K150:K151"/>
    <mergeCell ref="A150:A151"/>
    <mergeCell ref="B150:B151"/>
    <mergeCell ref="C150:C151"/>
    <mergeCell ref="D150:D151"/>
    <mergeCell ref="E150:E151"/>
    <mergeCell ref="F150:F151"/>
    <mergeCell ref="G150:G151"/>
    <mergeCell ref="H150:H151"/>
    <mergeCell ref="I150:I151"/>
    <mergeCell ref="K123:K124"/>
    <mergeCell ref="F120:F121"/>
    <mergeCell ref="F123:F124"/>
    <mergeCell ref="F126:F127"/>
    <mergeCell ref="F129:F130"/>
    <mergeCell ref="F132:F133"/>
    <mergeCell ref="A103:A105"/>
    <mergeCell ref="B103:B105"/>
    <mergeCell ref="C103:C105"/>
    <mergeCell ref="D103:D105"/>
    <mergeCell ref="I103:I105"/>
    <mergeCell ref="J103:J105"/>
    <mergeCell ref="K103:K105"/>
    <mergeCell ref="K129:K130"/>
    <mergeCell ref="A129:A130"/>
    <mergeCell ref="B129:B130"/>
    <mergeCell ref="C129:C130"/>
    <mergeCell ref="D129:D130"/>
    <mergeCell ref="E129:E130"/>
    <mergeCell ref="G129:G130"/>
    <mergeCell ref="I123:I124"/>
    <mergeCell ref="J120:J121"/>
    <mergeCell ref="A123:A124"/>
    <mergeCell ref="B123:B124"/>
    <mergeCell ref="A84:A85"/>
    <mergeCell ref="A91:A93"/>
    <mergeCell ref="B91:B93"/>
    <mergeCell ref="C91:C93"/>
    <mergeCell ref="A99:A101"/>
    <mergeCell ref="C79:C82"/>
    <mergeCell ref="B84:B85"/>
    <mergeCell ref="C84:C85"/>
    <mergeCell ref="B99:B101"/>
    <mergeCell ref="C99:C101"/>
    <mergeCell ref="D99:D101"/>
    <mergeCell ref="I99:I101"/>
    <mergeCell ref="J99:J101"/>
    <mergeCell ref="K99:K101"/>
    <mergeCell ref="H132:H133"/>
    <mergeCell ref="I132:I133"/>
    <mergeCell ref="J132:J133"/>
    <mergeCell ref="K132:K133"/>
    <mergeCell ref="A132:A133"/>
    <mergeCell ref="B132:B133"/>
    <mergeCell ref="C132:C133"/>
    <mergeCell ref="D132:D133"/>
    <mergeCell ref="E132:E133"/>
    <mergeCell ref="G132:G133"/>
    <mergeCell ref="K126:K127"/>
    <mergeCell ref="A126:A127"/>
    <mergeCell ref="B126:B127"/>
    <mergeCell ref="C126:C127"/>
    <mergeCell ref="D126:D127"/>
    <mergeCell ref="E126:E127"/>
    <mergeCell ref="G126:G127"/>
    <mergeCell ref="H129:H130"/>
    <mergeCell ref="I129:I130"/>
    <mergeCell ref="J129:J130"/>
    <mergeCell ref="C123:C124"/>
    <mergeCell ref="D123:D124"/>
    <mergeCell ref="E123:E124"/>
    <mergeCell ref="H126:H127"/>
    <mergeCell ref="I126:I127"/>
    <mergeCell ref="J126:J127"/>
    <mergeCell ref="J123:J124"/>
    <mergeCell ref="B111:B114"/>
    <mergeCell ref="C111:C114"/>
    <mergeCell ref="D111:D114"/>
    <mergeCell ref="I111:I114"/>
    <mergeCell ref="J111:J114"/>
    <mergeCell ref="K111:K114"/>
    <mergeCell ref="A111:A114"/>
    <mergeCell ref="A120:A121"/>
    <mergeCell ref="B120:B121"/>
    <mergeCell ref="C120:C121"/>
    <mergeCell ref="D120:D121"/>
    <mergeCell ref="E120:E121"/>
    <mergeCell ref="K120:K121"/>
    <mergeCell ref="I120:I121"/>
    <mergeCell ref="B66:B67"/>
    <mergeCell ref="C66:C67"/>
    <mergeCell ref="A72:A73"/>
    <mergeCell ref="A75:A77"/>
    <mergeCell ref="B75:B77"/>
    <mergeCell ref="C75:C77"/>
    <mergeCell ref="J107:J109"/>
    <mergeCell ref="K107:K109"/>
    <mergeCell ref="G107:G109"/>
    <mergeCell ref="H107:H109"/>
    <mergeCell ref="A107:A109"/>
    <mergeCell ref="B107:B109"/>
    <mergeCell ref="C107:C109"/>
    <mergeCell ref="D107:D109"/>
    <mergeCell ref="E107:E109"/>
    <mergeCell ref="I107:I109"/>
    <mergeCell ref="A66:A67"/>
    <mergeCell ref="A69:A70"/>
    <mergeCell ref="B69:B70"/>
    <mergeCell ref="C69:C70"/>
    <mergeCell ref="B72:B73"/>
    <mergeCell ref="C72:C73"/>
    <mergeCell ref="A79:A82"/>
    <mergeCell ref="B79:B82"/>
    <mergeCell ref="A44:A48"/>
    <mergeCell ref="B44:B48"/>
    <mergeCell ref="C44:C48"/>
    <mergeCell ref="C50:C53"/>
    <mergeCell ref="J57:J60"/>
    <mergeCell ref="J62:J64"/>
    <mergeCell ref="K62:K64"/>
    <mergeCell ref="B50:B53"/>
    <mergeCell ref="A57:A60"/>
    <mergeCell ref="B57:B60"/>
    <mergeCell ref="C57:C60"/>
    <mergeCell ref="K57:K60"/>
    <mergeCell ref="A50:A53"/>
    <mergeCell ref="A62:A64"/>
    <mergeCell ref="B62:B64"/>
    <mergeCell ref="C62:C64"/>
    <mergeCell ref="A33:A36"/>
    <mergeCell ref="B33:B36"/>
    <mergeCell ref="C33:C36"/>
    <mergeCell ref="B25:L25"/>
    <mergeCell ref="B27:L27"/>
    <mergeCell ref="B30:L30"/>
    <mergeCell ref="G41:G42"/>
    <mergeCell ref="H41:H42"/>
    <mergeCell ref="A38:A39"/>
    <mergeCell ref="B38:B39"/>
    <mergeCell ref="C38:C39"/>
    <mergeCell ref="I38:I39"/>
    <mergeCell ref="A41:A42"/>
    <mergeCell ref="I41:I42"/>
    <mergeCell ref="B41:B42"/>
    <mergeCell ref="C41:C42"/>
    <mergeCell ref="B18:L18"/>
    <mergeCell ref="B19:B21"/>
    <mergeCell ref="C19:C21"/>
    <mergeCell ref="D19:D21"/>
    <mergeCell ref="J19:J21"/>
    <mergeCell ref="K19:K21"/>
    <mergeCell ref="L19:L21"/>
    <mergeCell ref="B22:L22"/>
    <mergeCell ref="A23:A24"/>
    <mergeCell ref="B23:B24"/>
    <mergeCell ref="C23:C24"/>
    <mergeCell ref="D23:D24"/>
    <mergeCell ref="J23:J24"/>
    <mergeCell ref="K23:K24"/>
    <mergeCell ref="B10:L10"/>
    <mergeCell ref="B13:B14"/>
    <mergeCell ref="C13:C14"/>
    <mergeCell ref="D13:D14"/>
    <mergeCell ref="J13:J14"/>
    <mergeCell ref="K13:K14"/>
    <mergeCell ref="L13:L14"/>
    <mergeCell ref="B15:L15"/>
    <mergeCell ref="B16:B17"/>
    <mergeCell ref="C16:C17"/>
    <mergeCell ref="D16:D17"/>
    <mergeCell ref="J16:J17"/>
    <mergeCell ref="K16:K17"/>
    <mergeCell ref="L16:L17"/>
    <mergeCell ref="B2:B4"/>
    <mergeCell ref="C2:C4"/>
    <mergeCell ref="D2:D4"/>
    <mergeCell ref="J2:J4"/>
    <mergeCell ref="K2:K4"/>
    <mergeCell ref="L2:L4"/>
    <mergeCell ref="A5:L5"/>
    <mergeCell ref="B6:B9"/>
    <mergeCell ref="C6:C9"/>
    <mergeCell ref="D6:D9"/>
    <mergeCell ref="J6:J9"/>
    <mergeCell ref="K6:K9"/>
    <mergeCell ref="L6:L9"/>
    <mergeCell ref="A135:A136"/>
    <mergeCell ref="B135:B136"/>
    <mergeCell ref="C135:C136"/>
    <mergeCell ref="D135:D136"/>
    <mergeCell ref="E135:E136"/>
    <mergeCell ref="F135:F136"/>
    <mergeCell ref="I135:I136"/>
    <mergeCell ref="J135:J136"/>
    <mergeCell ref="K135:K136"/>
    <mergeCell ref="A138:A139"/>
    <mergeCell ref="B138:B139"/>
    <mergeCell ref="C138:C139"/>
    <mergeCell ref="D138:D139"/>
    <mergeCell ref="E138:E139"/>
    <mergeCell ref="F138:F139"/>
    <mergeCell ref="I138:I139"/>
    <mergeCell ref="J138:J139"/>
    <mergeCell ref="K138:K139"/>
    <mergeCell ref="J141:J142"/>
    <mergeCell ref="K141:K142"/>
    <mergeCell ref="A144:A145"/>
    <mergeCell ref="B144:B145"/>
    <mergeCell ref="C144:C145"/>
    <mergeCell ref="D144:D145"/>
    <mergeCell ref="E144:E145"/>
    <mergeCell ref="F144:F145"/>
    <mergeCell ref="G144:G145"/>
    <mergeCell ref="H144:H145"/>
    <mergeCell ref="I144:I145"/>
    <mergeCell ref="J144:J145"/>
    <mergeCell ref="K144:K145"/>
    <mergeCell ref="A141:A142"/>
    <mergeCell ref="B141:B142"/>
    <mergeCell ref="C141:C142"/>
    <mergeCell ref="D141:D142"/>
    <mergeCell ref="E141:E142"/>
    <mergeCell ref="F141:F142"/>
    <mergeCell ref="G141:G142"/>
    <mergeCell ref="H141:H142"/>
    <mergeCell ref="I141:I142"/>
    <mergeCell ref="J147:J148"/>
    <mergeCell ref="K147:K148"/>
    <mergeCell ref="A147:A148"/>
    <mergeCell ref="B147:B148"/>
    <mergeCell ref="C147:C148"/>
    <mergeCell ref="D147:D148"/>
    <mergeCell ref="E147:E148"/>
    <mergeCell ref="F147:F148"/>
    <mergeCell ref="G147:G148"/>
    <mergeCell ref="H147:H148"/>
    <mergeCell ref="I147:I148"/>
  </mergeCells>
  <dataValidations count="3">
    <dataValidation type="list" allowBlank="1" showErrorMessage="1" sqref="G2:G4 G6:G9 G16:G17 G19:G21 G23:G24 G28:G29 G33:G36 G38:G39 G41 G44:G48 G50:G53 G55 G57:G60 G62:G64 G66 G69 G72 G75:G77 G79:G82 G84 G87 G89 G91:G93 G95 G97 G99:G101 G103:G105 G107 G111:G114 G116 G118 G120:G121 G123:G124 G126 G129 G132 G135:G136 G138:G139 G141 G144 G147 G150" xr:uid="{00000000-0002-0000-0000-000000000000}">
      <formula1>"Maths,Chemistry,Biology,Physics,Science,English,SST,Commerce ,Hindi"</formula1>
    </dataValidation>
    <dataValidation type="list" allowBlank="1" showErrorMessage="1" sqref="G11 G13:G14 G26 G31" xr:uid="{00000000-0002-0000-0000-000001000000}">
      <formula1>"Maths,Chemistry,Biology,Physics,Science,English,SST,Accountancy,English grammar,Economics"</formula1>
    </dataValidation>
    <dataValidation type="list" allowBlank="1" showErrorMessage="1" sqref="E129 E2 E6 E11 E13 E16 E19 E23 E26 E28 E31 E33 E38 E41 E44 E50 E55 E57 E62 E66 F68 E72 E75 E79 E84 E87 E89 E91 E95 E97 E103:F105 E107:F107 E111:F111 E99:E101 E116 E118 E120 E123 E126 E68:E69 E132 E144 E135 E138 E141 E147 E150" xr:uid="{00000000-0002-0000-0000-000002000000}">
      <formula1>"8,9,10,11,12,Homeschool "</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49"/>
  <sheetViews>
    <sheetView zoomScale="82" workbookViewId="0">
      <pane xSplit="2" topLeftCell="C1" activePane="topRight" state="frozen"/>
      <selection pane="topRight" activeCell="P1" sqref="P1"/>
    </sheetView>
  </sheetViews>
  <sheetFormatPr defaultColWidth="12.6640625" defaultRowHeight="15.75" customHeight="1"/>
  <cols>
    <col min="1" max="1" width="9.21875" customWidth="1"/>
    <col min="2" max="2" width="20.88671875" bestFit="1" customWidth="1"/>
    <col min="5" max="5" width="13.6640625" bestFit="1" customWidth="1"/>
    <col min="7" max="7" width="16.44140625" customWidth="1"/>
    <col min="8" max="8" width="18.6640625" bestFit="1" customWidth="1"/>
    <col min="9" max="9" width="10" customWidth="1"/>
    <col min="10" max="10" width="14" customWidth="1"/>
    <col min="13" max="13" width="12.6640625" style="11"/>
    <col min="14" max="14" width="15.33203125" style="10" customWidth="1"/>
    <col min="15" max="15" width="13.33203125" style="10" bestFit="1" customWidth="1"/>
    <col min="17" max="17" width="12.6640625" style="10"/>
  </cols>
  <sheetData>
    <row r="1" spans="1:17" s="48" customFormat="1" ht="44.4" customHeight="1">
      <c r="A1" s="47" t="s">
        <v>0</v>
      </c>
      <c r="B1" s="19" t="s">
        <v>3</v>
      </c>
      <c r="C1" s="19" t="s">
        <v>8</v>
      </c>
      <c r="D1" s="19" t="s">
        <v>202</v>
      </c>
      <c r="E1" s="19" t="s">
        <v>10</v>
      </c>
      <c r="F1" s="21" t="s">
        <v>12</v>
      </c>
      <c r="G1" s="21" t="s">
        <v>13</v>
      </c>
      <c r="H1" s="19" t="s">
        <v>7</v>
      </c>
      <c r="I1" s="21" t="s">
        <v>15</v>
      </c>
      <c r="J1" s="21" t="s">
        <v>18</v>
      </c>
      <c r="L1" s="89" t="s">
        <v>211</v>
      </c>
      <c r="M1" s="21" t="s">
        <v>200</v>
      </c>
      <c r="N1" s="21" t="s">
        <v>210</v>
      </c>
      <c r="O1" s="21" t="s">
        <v>11</v>
      </c>
      <c r="P1" s="90"/>
      <c r="Q1" s="149" t="s">
        <v>233</v>
      </c>
    </row>
    <row r="2" spans="1:17" ht="13.2">
      <c r="A2" s="2"/>
      <c r="B2" s="95" t="s">
        <v>21</v>
      </c>
      <c r="C2" s="23">
        <v>12</v>
      </c>
      <c r="D2" s="57">
        <v>46148</v>
      </c>
      <c r="E2" s="23" t="s">
        <v>23</v>
      </c>
      <c r="F2" s="23">
        <v>550</v>
      </c>
      <c r="G2" s="95">
        <v>18</v>
      </c>
      <c r="H2" s="95">
        <v>94500</v>
      </c>
      <c r="I2" s="95">
        <v>5000</v>
      </c>
      <c r="J2" s="23">
        <v>60000</v>
      </c>
      <c r="M2" s="11">
        <f>SUM(G2*F2)</f>
        <v>9900</v>
      </c>
      <c r="N2" s="10">
        <f>SUM(M2*6)</f>
        <v>59400</v>
      </c>
      <c r="O2" s="10">
        <f>SUM(J2)</f>
        <v>60000</v>
      </c>
    </row>
    <row r="3" spans="1:17" ht="13.2">
      <c r="A3" s="2"/>
      <c r="B3" s="120"/>
      <c r="C3" s="23"/>
      <c r="D3" s="23"/>
      <c r="E3" s="34" t="s">
        <v>29</v>
      </c>
      <c r="F3" s="34">
        <v>550</v>
      </c>
      <c r="G3" s="120"/>
      <c r="H3" s="120"/>
      <c r="I3" s="120"/>
      <c r="J3" s="23"/>
    </row>
    <row r="4" spans="1:17" ht="13.2">
      <c r="A4" s="1">
        <v>1</v>
      </c>
      <c r="B4" s="121"/>
      <c r="C4" s="23"/>
      <c r="D4" s="23"/>
      <c r="E4" s="23" t="s">
        <v>33</v>
      </c>
      <c r="F4" s="23">
        <v>550</v>
      </c>
      <c r="G4" s="121"/>
      <c r="H4" s="121"/>
      <c r="I4" s="121"/>
      <c r="J4" s="23"/>
    </row>
    <row r="5" spans="1:17" ht="13.2">
      <c r="A5" s="2"/>
      <c r="B5" s="95" t="s">
        <v>35</v>
      </c>
      <c r="C5" s="23">
        <v>11</v>
      </c>
      <c r="D5" s="57">
        <v>46220</v>
      </c>
      <c r="E5" s="124" t="s">
        <v>29</v>
      </c>
      <c r="F5" s="95">
        <v>550</v>
      </c>
      <c r="G5" s="95">
        <v>12</v>
      </c>
      <c r="H5" s="25">
        <v>66000</v>
      </c>
      <c r="I5" s="25" t="s">
        <v>44</v>
      </c>
      <c r="J5" s="25">
        <v>12650</v>
      </c>
      <c r="M5" s="11">
        <f>SUM(G5*F5)</f>
        <v>6600</v>
      </c>
      <c r="N5" s="10">
        <f>SUM(M5*3)</f>
        <v>19800</v>
      </c>
      <c r="O5" s="10">
        <f>SUM(J5)</f>
        <v>12650</v>
      </c>
      <c r="Q5" s="10">
        <f t="shared" ref="Q5:Q41" si="0">SUM(N5-O5)</f>
        <v>7150</v>
      </c>
    </row>
    <row r="6" spans="1:17" ht="13.2">
      <c r="A6" s="2"/>
      <c r="B6" s="120"/>
      <c r="C6" s="23"/>
      <c r="D6" s="58"/>
      <c r="E6" s="121"/>
      <c r="F6" s="120"/>
      <c r="G6" s="120"/>
      <c r="H6" s="25"/>
      <c r="I6" s="25"/>
      <c r="J6" s="25"/>
    </row>
    <row r="7" spans="1:17" ht="13.2">
      <c r="A7" s="2"/>
      <c r="B7" s="120"/>
      <c r="C7" s="23"/>
      <c r="D7" s="24"/>
      <c r="E7" s="95" t="s">
        <v>33</v>
      </c>
      <c r="F7" s="120"/>
      <c r="G7" s="120"/>
      <c r="H7" s="25"/>
      <c r="I7" s="25"/>
      <c r="J7" s="25"/>
    </row>
    <row r="8" spans="1:17" ht="13.2">
      <c r="A8" s="1">
        <v>2</v>
      </c>
      <c r="B8" s="121"/>
      <c r="C8" s="23"/>
      <c r="D8" s="58"/>
      <c r="E8" s="121"/>
      <c r="F8" s="121"/>
      <c r="G8" s="121"/>
      <c r="H8" s="25"/>
      <c r="I8" s="25"/>
      <c r="J8" s="25"/>
    </row>
    <row r="9" spans="1:17" ht="13.2">
      <c r="A9" s="2"/>
      <c r="B9" s="95" t="s">
        <v>49</v>
      </c>
      <c r="C9" s="23">
        <v>11</v>
      </c>
      <c r="D9" s="57">
        <v>46221</v>
      </c>
      <c r="E9" s="23" t="s">
        <v>29</v>
      </c>
      <c r="F9" s="95">
        <v>600</v>
      </c>
      <c r="G9" s="95">
        <v>18</v>
      </c>
      <c r="H9" s="25">
        <v>81600</v>
      </c>
      <c r="I9" s="25" t="s">
        <v>55</v>
      </c>
      <c r="J9" s="25">
        <v>22800</v>
      </c>
      <c r="M9" s="11">
        <v>10200</v>
      </c>
      <c r="N9" s="10">
        <f>SUM(M9*3)</f>
        <v>30600</v>
      </c>
      <c r="O9" s="10">
        <f>SUM(J9)</f>
        <v>22800</v>
      </c>
      <c r="Q9" s="10">
        <f t="shared" si="0"/>
        <v>7800</v>
      </c>
    </row>
    <row r="10" spans="1:17" ht="13.2">
      <c r="A10" s="2"/>
      <c r="B10" s="120"/>
      <c r="C10" s="23"/>
      <c r="D10" s="23"/>
      <c r="E10" s="23" t="s">
        <v>33</v>
      </c>
      <c r="F10" s="120"/>
      <c r="G10" s="120"/>
      <c r="H10" s="25"/>
      <c r="I10" s="25"/>
      <c r="J10" s="25"/>
    </row>
    <row r="11" spans="1:17" ht="13.2">
      <c r="A11" s="1">
        <v>3</v>
      </c>
      <c r="B11" s="121"/>
      <c r="C11" s="23"/>
      <c r="D11" s="23"/>
      <c r="E11" s="94" t="s">
        <v>225</v>
      </c>
      <c r="F11" s="121"/>
      <c r="G11" s="121"/>
      <c r="H11" s="25"/>
      <c r="I11" s="25"/>
      <c r="J11" s="25"/>
    </row>
    <row r="12" spans="1:17" ht="13.2">
      <c r="A12" s="2"/>
      <c r="B12" s="95" t="s">
        <v>60</v>
      </c>
      <c r="C12" s="23">
        <v>10</v>
      </c>
      <c r="D12" s="57">
        <v>46225</v>
      </c>
      <c r="E12" s="23" t="s">
        <v>62</v>
      </c>
      <c r="F12" s="95">
        <v>500</v>
      </c>
      <c r="G12" s="95">
        <v>12</v>
      </c>
      <c r="H12" s="25" t="s">
        <v>68</v>
      </c>
      <c r="I12" s="25" t="s">
        <v>37</v>
      </c>
      <c r="J12" s="25">
        <v>12000</v>
      </c>
      <c r="M12" s="11">
        <f>SUM(G12*F12)</f>
        <v>6000</v>
      </c>
      <c r="N12" s="10">
        <f>SUM(M12*3)</f>
        <v>18000</v>
      </c>
      <c r="O12" s="10">
        <f>SUM(J12)</f>
        <v>12000</v>
      </c>
      <c r="Q12" s="10">
        <f t="shared" si="0"/>
        <v>6000</v>
      </c>
    </row>
    <row r="13" spans="1:17" ht="13.2">
      <c r="A13" s="2"/>
      <c r="B13" s="120"/>
      <c r="C13" s="23"/>
      <c r="D13" s="23"/>
      <c r="E13" s="23" t="s">
        <v>70</v>
      </c>
      <c r="F13" s="121"/>
      <c r="G13" s="120"/>
      <c r="H13" s="25"/>
      <c r="I13" s="25"/>
      <c r="J13" s="25"/>
    </row>
    <row r="14" spans="1:17" ht="13.2">
      <c r="A14" s="1">
        <v>4</v>
      </c>
      <c r="B14" s="121"/>
      <c r="C14" s="23"/>
      <c r="D14" s="23"/>
      <c r="E14" s="23" t="s">
        <v>71</v>
      </c>
      <c r="F14" s="23"/>
      <c r="G14" s="121"/>
      <c r="H14" s="25"/>
      <c r="I14" s="25"/>
      <c r="J14" s="25"/>
    </row>
    <row r="15" spans="1:17" ht="13.2">
      <c r="A15" s="2"/>
      <c r="B15" s="95" t="s">
        <v>73</v>
      </c>
      <c r="C15" s="23">
        <v>8</v>
      </c>
      <c r="D15" s="57">
        <v>46237</v>
      </c>
      <c r="E15" s="23" t="s">
        <v>23</v>
      </c>
      <c r="F15" s="49">
        <v>400</v>
      </c>
      <c r="G15" s="95">
        <v>10</v>
      </c>
      <c r="H15" s="25" t="s">
        <v>79</v>
      </c>
      <c r="I15" s="25" t="s">
        <v>80</v>
      </c>
      <c r="J15" s="25">
        <v>2400</v>
      </c>
      <c r="M15" s="11">
        <f>SUM(G15*F15)</f>
        <v>4000</v>
      </c>
      <c r="N15" s="10">
        <f>SUM(M15*3)</f>
        <v>12000</v>
      </c>
      <c r="O15" s="10">
        <f>SUM(J15)</f>
        <v>2400</v>
      </c>
      <c r="Q15" s="10">
        <f t="shared" si="0"/>
        <v>9600</v>
      </c>
    </row>
    <row r="16" spans="1:17" ht="13.2">
      <c r="A16" s="1">
        <v>5</v>
      </c>
      <c r="B16" s="121"/>
      <c r="C16" s="23"/>
      <c r="D16" s="23"/>
      <c r="E16" s="23" t="s">
        <v>82</v>
      </c>
      <c r="F16" s="23"/>
      <c r="G16" s="121"/>
      <c r="H16" s="25"/>
      <c r="I16" s="25"/>
      <c r="J16" s="25"/>
    </row>
    <row r="17" spans="1:17" ht="13.2">
      <c r="A17" s="2"/>
      <c r="B17" s="95" t="s">
        <v>84</v>
      </c>
      <c r="C17" s="23">
        <v>9</v>
      </c>
      <c r="D17" s="57">
        <v>46240</v>
      </c>
      <c r="E17" s="23" t="s">
        <v>62</v>
      </c>
      <c r="F17" s="23">
        <v>425</v>
      </c>
      <c r="G17" s="95">
        <v>18</v>
      </c>
      <c r="H17" s="25" t="s">
        <v>88</v>
      </c>
      <c r="I17" s="25" t="s">
        <v>63</v>
      </c>
      <c r="J17" s="25">
        <v>13175</v>
      </c>
      <c r="M17" s="11">
        <f>SUM(G17*F17)</f>
        <v>7650</v>
      </c>
      <c r="N17" s="10">
        <f>SUM(M17*3)</f>
        <v>22950</v>
      </c>
      <c r="O17" s="10">
        <f>SUM(J17)</f>
        <v>13175</v>
      </c>
      <c r="Q17" s="10">
        <f t="shared" si="0"/>
        <v>9775</v>
      </c>
    </row>
    <row r="18" spans="1:17" ht="13.2">
      <c r="A18" s="2"/>
      <c r="B18" s="120"/>
      <c r="C18" s="23"/>
      <c r="D18" s="23"/>
      <c r="E18" s="23" t="s">
        <v>70</v>
      </c>
      <c r="F18" s="23"/>
      <c r="G18" s="120"/>
      <c r="H18" s="25"/>
      <c r="I18" s="25"/>
      <c r="J18" s="25"/>
    </row>
    <row r="19" spans="1:17" ht="13.2">
      <c r="A19" s="2"/>
      <c r="B19" s="120"/>
      <c r="C19" s="23"/>
      <c r="D19" s="23"/>
      <c r="E19" s="23" t="s">
        <v>71</v>
      </c>
      <c r="F19" s="23"/>
      <c r="G19" s="120"/>
      <c r="H19" s="25"/>
      <c r="I19" s="25"/>
      <c r="J19" s="25"/>
    </row>
    <row r="20" spans="1:17" ht="13.2">
      <c r="A20" s="1">
        <v>6</v>
      </c>
      <c r="B20" s="121"/>
      <c r="C20" s="23"/>
      <c r="D20" s="23"/>
      <c r="E20" s="23" t="s">
        <v>23</v>
      </c>
      <c r="F20" s="23"/>
      <c r="G20" s="121"/>
      <c r="H20" s="25"/>
      <c r="I20" s="25"/>
      <c r="J20" s="25"/>
    </row>
    <row r="21" spans="1:17" ht="13.2">
      <c r="A21" s="2"/>
      <c r="B21" s="95" t="s">
        <v>93</v>
      </c>
      <c r="C21" s="23">
        <v>9</v>
      </c>
      <c r="D21" s="57">
        <v>46245</v>
      </c>
      <c r="E21" s="23" t="s">
        <v>62</v>
      </c>
      <c r="F21" s="23">
        <v>425</v>
      </c>
      <c r="G21" s="95">
        <v>18</v>
      </c>
      <c r="H21" s="25" t="s">
        <v>88</v>
      </c>
      <c r="I21" s="25" t="s">
        <v>97</v>
      </c>
      <c r="J21" s="25">
        <v>3000</v>
      </c>
      <c r="M21" s="11">
        <f>SUM(G21*F21)</f>
        <v>7650</v>
      </c>
      <c r="N21" s="10">
        <f>SUM(M21*3)</f>
        <v>22950</v>
      </c>
      <c r="O21" s="10">
        <f>SUM(J21)</f>
        <v>3000</v>
      </c>
      <c r="Q21" s="10">
        <f t="shared" si="0"/>
        <v>19950</v>
      </c>
    </row>
    <row r="22" spans="1:17" ht="13.2">
      <c r="A22" s="2"/>
      <c r="B22" s="120"/>
      <c r="C22" s="23"/>
      <c r="D22" s="23"/>
      <c r="E22" s="23" t="s">
        <v>70</v>
      </c>
      <c r="F22" s="23"/>
      <c r="G22" s="120"/>
      <c r="H22" s="23"/>
      <c r="I22" s="25"/>
      <c r="J22" s="25"/>
    </row>
    <row r="23" spans="1:17" ht="13.2">
      <c r="A23" s="2"/>
      <c r="B23" s="120"/>
      <c r="C23" s="23"/>
      <c r="D23" s="23"/>
      <c r="E23" s="23" t="s">
        <v>71</v>
      </c>
      <c r="F23" s="23"/>
      <c r="G23" s="120"/>
      <c r="H23" s="23"/>
      <c r="I23" s="23"/>
      <c r="J23" s="23"/>
    </row>
    <row r="24" spans="1:17" ht="13.2">
      <c r="A24" s="1">
        <v>7</v>
      </c>
      <c r="B24" s="121"/>
      <c r="C24" s="23"/>
      <c r="D24" s="23"/>
      <c r="E24" s="23" t="s">
        <v>23</v>
      </c>
      <c r="F24" s="23"/>
      <c r="G24" s="121"/>
      <c r="H24" s="23"/>
      <c r="I24" s="23"/>
      <c r="J24" s="23"/>
    </row>
    <row r="25" spans="1:17" ht="13.2">
      <c r="A25" s="2"/>
      <c r="B25" s="95" t="s">
        <v>102</v>
      </c>
      <c r="C25" s="23">
        <v>8</v>
      </c>
      <c r="D25" s="57">
        <v>46259</v>
      </c>
      <c r="E25" s="23" t="s">
        <v>23</v>
      </c>
      <c r="F25" s="23">
        <v>400</v>
      </c>
      <c r="G25" s="23">
        <v>6</v>
      </c>
      <c r="H25" s="23" t="s">
        <v>79</v>
      </c>
      <c r="I25" s="23" t="s">
        <v>108</v>
      </c>
      <c r="J25" s="23">
        <v>2000</v>
      </c>
      <c r="M25" s="11">
        <f>SUM(G25*F25)</f>
        <v>2400</v>
      </c>
      <c r="N25" s="10">
        <f>SUM(M25*2)</f>
        <v>4800</v>
      </c>
      <c r="O25" s="10">
        <f>SUM(J25)</f>
        <v>2000</v>
      </c>
      <c r="Q25" s="10">
        <f t="shared" si="0"/>
        <v>2800</v>
      </c>
    </row>
    <row r="26" spans="1:17" ht="13.2">
      <c r="A26" s="1">
        <v>8</v>
      </c>
      <c r="B26" s="121"/>
      <c r="C26" s="23"/>
      <c r="D26" s="23"/>
      <c r="E26" s="23"/>
      <c r="F26" s="23"/>
      <c r="G26" s="23"/>
      <c r="H26" s="23"/>
      <c r="I26" s="23"/>
      <c r="J26" s="23"/>
    </row>
    <row r="27" spans="1:17" ht="13.2">
      <c r="A27" s="2"/>
      <c r="B27" s="98" t="s">
        <v>111</v>
      </c>
      <c r="C27" s="23">
        <v>9</v>
      </c>
      <c r="D27" s="57">
        <v>46205</v>
      </c>
      <c r="E27" s="23" t="s">
        <v>23</v>
      </c>
      <c r="F27" s="23"/>
      <c r="G27" s="95">
        <v>18</v>
      </c>
      <c r="H27" s="23"/>
      <c r="I27" s="23"/>
      <c r="J27" s="23"/>
    </row>
    <row r="28" spans="1:17" ht="13.2">
      <c r="A28" s="2"/>
      <c r="B28" s="120"/>
      <c r="C28" s="23"/>
      <c r="D28" s="23"/>
      <c r="E28" s="23" t="s">
        <v>71</v>
      </c>
      <c r="F28" s="23"/>
      <c r="G28" s="120"/>
      <c r="H28" s="23"/>
      <c r="I28" s="23"/>
      <c r="J28" s="23"/>
    </row>
    <row r="29" spans="1:17" ht="13.2">
      <c r="A29" s="2"/>
      <c r="B29" s="120"/>
      <c r="C29" s="23"/>
      <c r="D29" s="23"/>
      <c r="E29" s="23" t="s">
        <v>62</v>
      </c>
      <c r="F29" s="23"/>
      <c r="G29" s="120"/>
      <c r="H29" s="23"/>
      <c r="I29" s="23"/>
      <c r="J29" s="23"/>
      <c r="M29" s="52">
        <v>0</v>
      </c>
      <c r="N29" s="52">
        <v>0</v>
      </c>
      <c r="O29" s="52">
        <v>0</v>
      </c>
    </row>
    <row r="30" spans="1:17" ht="13.2">
      <c r="A30" s="1">
        <v>9</v>
      </c>
      <c r="B30" s="121"/>
      <c r="C30" s="23"/>
      <c r="D30" s="23"/>
      <c r="E30" s="23" t="s">
        <v>70</v>
      </c>
      <c r="F30" s="23"/>
      <c r="G30" s="121"/>
      <c r="H30" s="23"/>
      <c r="I30" s="23"/>
      <c r="J30" s="23"/>
    </row>
    <row r="31" spans="1:17" ht="13.2">
      <c r="A31" s="1"/>
      <c r="B31" s="92"/>
      <c r="C31" s="23"/>
      <c r="D31" s="136"/>
      <c r="E31" s="94" t="s">
        <v>227</v>
      </c>
      <c r="F31" s="23">
        <v>450</v>
      </c>
      <c r="G31" s="92">
        <v>8</v>
      </c>
      <c r="H31" s="23">
        <v>21600</v>
      </c>
      <c r="I31" s="23">
        <v>4000</v>
      </c>
      <c r="J31" s="23">
        <v>4000</v>
      </c>
      <c r="M31" s="11">
        <f t="shared" ref="M26:M31" si="1">SUM(G31*F31)</f>
        <v>3600</v>
      </c>
      <c r="N31" s="10">
        <f t="shared" ref="N26:N31" si="2">SUM(M31*2)</f>
        <v>7200</v>
      </c>
      <c r="O31" s="10">
        <f t="shared" ref="O26:O31" si="3">SUM(J31)</f>
        <v>4000</v>
      </c>
      <c r="Q31" s="10">
        <f t="shared" si="0"/>
        <v>3200</v>
      </c>
    </row>
    <row r="32" spans="1:17" ht="13.2">
      <c r="A32" s="1">
        <v>10</v>
      </c>
      <c r="B32" s="137" t="s">
        <v>226</v>
      </c>
      <c r="C32" s="138">
        <v>10</v>
      </c>
      <c r="D32" s="140">
        <v>46266</v>
      </c>
      <c r="E32" s="139"/>
      <c r="F32" s="23"/>
      <c r="G32" s="92"/>
      <c r="H32" s="23"/>
      <c r="I32" s="23"/>
      <c r="J32" s="23"/>
    </row>
    <row r="33" spans="1:17" ht="13.2">
      <c r="A33" s="2"/>
      <c r="B33" s="95" t="s">
        <v>121</v>
      </c>
      <c r="C33" s="23">
        <v>9</v>
      </c>
      <c r="D33" s="57">
        <v>46274</v>
      </c>
      <c r="E33" s="23" t="s">
        <v>71</v>
      </c>
      <c r="F33" s="23">
        <v>450</v>
      </c>
      <c r="G33" s="95">
        <v>12</v>
      </c>
      <c r="H33" s="23" t="s">
        <v>125</v>
      </c>
      <c r="I33" s="25">
        <v>2500</v>
      </c>
      <c r="J33" s="23">
        <v>2500</v>
      </c>
      <c r="M33" s="11">
        <f>SUM(G33*F33)</f>
        <v>5400</v>
      </c>
      <c r="N33" s="10">
        <f>SUM(M33*2)</f>
        <v>10800</v>
      </c>
      <c r="O33" s="10">
        <f>SUM(J33)</f>
        <v>2500</v>
      </c>
      <c r="Q33" s="10">
        <f t="shared" si="0"/>
        <v>8300</v>
      </c>
    </row>
    <row r="34" spans="1:17" ht="13.2">
      <c r="A34" s="2"/>
      <c r="B34" s="120"/>
      <c r="C34" s="23"/>
      <c r="D34" s="23"/>
      <c r="E34" s="23" t="s">
        <v>62</v>
      </c>
      <c r="F34" s="23">
        <v>450</v>
      </c>
      <c r="G34" s="122"/>
      <c r="H34" s="23"/>
      <c r="I34" s="23"/>
      <c r="J34" s="23"/>
    </row>
    <row r="35" spans="1:17" ht="13.2">
      <c r="A35" s="2"/>
      <c r="B35" s="120"/>
      <c r="C35" s="23"/>
      <c r="D35" s="23"/>
      <c r="E35" s="23" t="s">
        <v>70</v>
      </c>
      <c r="F35" s="23">
        <v>450</v>
      </c>
      <c r="G35" s="122"/>
      <c r="H35" s="23"/>
      <c r="I35" s="23"/>
      <c r="J35" s="23"/>
    </row>
    <row r="36" spans="1:17" ht="13.2">
      <c r="A36" s="1">
        <v>10</v>
      </c>
      <c r="B36" s="121"/>
      <c r="C36" s="23"/>
      <c r="D36" s="23"/>
      <c r="E36" s="93" t="s">
        <v>127</v>
      </c>
      <c r="F36" s="93">
        <v>700</v>
      </c>
      <c r="G36" s="123"/>
      <c r="H36" s="23"/>
      <c r="I36" s="23"/>
      <c r="J36" s="23"/>
    </row>
    <row r="37" spans="1:17" ht="13.2">
      <c r="A37" s="2"/>
      <c r="B37" s="95" t="s">
        <v>128</v>
      </c>
      <c r="C37" s="23">
        <v>8</v>
      </c>
      <c r="D37" s="57">
        <v>46286</v>
      </c>
      <c r="E37" s="23" t="s">
        <v>71</v>
      </c>
      <c r="F37" s="23">
        <v>400</v>
      </c>
      <c r="G37" s="23">
        <v>12</v>
      </c>
      <c r="H37" s="23">
        <v>28800</v>
      </c>
      <c r="I37" s="23" t="s">
        <v>106</v>
      </c>
      <c r="J37" s="23">
        <v>4000</v>
      </c>
      <c r="M37" s="11">
        <f>SUM(G37*F37)</f>
        <v>4800</v>
      </c>
      <c r="N37" s="10">
        <f>SUM(M37*1)</f>
        <v>4800</v>
      </c>
      <c r="O37" s="10">
        <f>SUM(J37)</f>
        <v>4000</v>
      </c>
      <c r="Q37" s="10">
        <f t="shared" si="0"/>
        <v>800</v>
      </c>
    </row>
    <row r="38" spans="1:17" ht="13.2">
      <c r="A38" s="2"/>
      <c r="B38" s="120"/>
      <c r="C38" s="23"/>
      <c r="D38" s="23"/>
      <c r="E38" s="23" t="s">
        <v>62</v>
      </c>
      <c r="F38" s="23"/>
      <c r="G38" s="23"/>
      <c r="H38" s="23"/>
      <c r="I38" s="23"/>
      <c r="J38" s="23"/>
    </row>
    <row r="39" spans="1:17" ht="13.2">
      <c r="A39" s="2"/>
      <c r="B39" s="120"/>
      <c r="C39" s="23"/>
      <c r="D39" s="23"/>
      <c r="E39" s="23" t="s">
        <v>70</v>
      </c>
      <c r="F39" s="23"/>
      <c r="G39" s="23"/>
      <c r="H39" s="23"/>
      <c r="I39" s="23"/>
      <c r="J39" s="23"/>
    </row>
    <row r="40" spans="1:17" ht="13.2">
      <c r="A40" s="1">
        <v>11</v>
      </c>
      <c r="B40" s="121"/>
      <c r="C40" s="23"/>
      <c r="D40" s="23"/>
      <c r="E40" s="23"/>
      <c r="F40" s="23"/>
      <c r="G40" s="23"/>
      <c r="H40" s="23"/>
      <c r="I40" s="23"/>
      <c r="J40" s="23"/>
    </row>
    <row r="41" spans="1:17" ht="13.2">
      <c r="A41" s="1">
        <v>12</v>
      </c>
      <c r="B41" s="95" t="s">
        <v>129</v>
      </c>
      <c r="C41" s="23">
        <v>11</v>
      </c>
      <c r="D41" s="57">
        <v>46297</v>
      </c>
      <c r="E41" s="23" t="s">
        <v>29</v>
      </c>
      <c r="F41" s="23">
        <v>550</v>
      </c>
      <c r="G41" s="23">
        <v>18</v>
      </c>
      <c r="H41" s="23">
        <v>66000</v>
      </c>
      <c r="I41" s="25" t="s">
        <v>63</v>
      </c>
      <c r="J41" s="23">
        <v>5000</v>
      </c>
      <c r="M41" s="11">
        <f>SUM(G41*F41)</f>
        <v>9900</v>
      </c>
      <c r="N41" s="10">
        <f>SUM(M41*1)</f>
        <v>9900</v>
      </c>
      <c r="O41" s="10">
        <f>SUM(J41)</f>
        <v>5000</v>
      </c>
      <c r="Q41" s="10">
        <f t="shared" si="0"/>
        <v>4900</v>
      </c>
    </row>
    <row r="42" spans="1:17" ht="13.2">
      <c r="A42" s="2"/>
      <c r="B42" s="120"/>
      <c r="C42" s="23"/>
      <c r="D42" s="23"/>
      <c r="E42" s="23" t="s">
        <v>33</v>
      </c>
      <c r="F42" s="23"/>
      <c r="G42" s="23"/>
      <c r="H42" s="23"/>
      <c r="I42" s="23"/>
      <c r="J42" s="23"/>
    </row>
    <row r="43" spans="1:17" ht="13.2">
      <c r="A43" s="2"/>
      <c r="B43" s="120"/>
      <c r="C43" s="23"/>
      <c r="D43" s="23"/>
      <c r="E43" s="23" t="s">
        <v>59</v>
      </c>
      <c r="F43" s="23"/>
      <c r="G43" s="23"/>
      <c r="H43" s="23"/>
      <c r="I43" s="23"/>
      <c r="J43" s="23"/>
    </row>
    <row r="44" spans="1:17" ht="13.2">
      <c r="A44" s="2"/>
      <c r="B44" s="121"/>
      <c r="C44" s="23"/>
      <c r="D44" s="23"/>
      <c r="E44" s="23"/>
      <c r="F44" s="23"/>
      <c r="G44" s="23"/>
      <c r="H44" s="23"/>
      <c r="I44" s="23"/>
      <c r="J44" s="23"/>
    </row>
    <row r="45" spans="1:17" ht="15.75" customHeight="1">
      <c r="B45" s="48"/>
      <c r="C45" s="48"/>
      <c r="D45" s="48"/>
      <c r="E45" s="48"/>
      <c r="F45" s="48"/>
      <c r="G45" s="48"/>
      <c r="H45" s="48"/>
      <c r="I45" s="48"/>
      <c r="J45" s="48"/>
    </row>
    <row r="46" spans="1:17" ht="15.75" customHeight="1">
      <c r="B46" s="50" t="s">
        <v>201</v>
      </c>
      <c r="C46" s="50"/>
      <c r="D46" s="50"/>
      <c r="E46" s="50"/>
      <c r="F46" s="50"/>
      <c r="G46" s="50"/>
      <c r="H46" s="50"/>
      <c r="I46" s="50"/>
      <c r="J46" s="50"/>
      <c r="K46" s="51"/>
      <c r="L46" s="51"/>
      <c r="M46" s="84">
        <f>SUM(M2:M43)</f>
        <v>78100</v>
      </c>
      <c r="N46" s="83">
        <f>SUM(N2:N45)</f>
        <v>223200</v>
      </c>
      <c r="O46" s="74">
        <f>SUM(O2:O45)</f>
        <v>143525</v>
      </c>
      <c r="Q46" s="11">
        <f>SUM(Q2:Q43)</f>
        <v>80275</v>
      </c>
    </row>
    <row r="47" spans="1:17" ht="15.75" customHeight="1">
      <c r="M47" s="78" t="s">
        <v>206</v>
      </c>
      <c r="N47" s="78" t="s">
        <v>207</v>
      </c>
      <c r="O47" s="78" t="s">
        <v>208</v>
      </c>
    </row>
    <row r="48" spans="1:17" ht="15.75" customHeight="1">
      <c r="M48" s="12"/>
      <c r="N48" s="12"/>
      <c r="O48" s="73"/>
    </row>
    <row r="49" spans="13:14" ht="15.75" customHeight="1">
      <c r="M49" s="85" t="s">
        <v>209</v>
      </c>
      <c r="N49" s="86">
        <f>SUM(N46-O46)</f>
        <v>79675</v>
      </c>
    </row>
  </sheetData>
  <mergeCells count="28">
    <mergeCell ref="B33:B36"/>
    <mergeCell ref="B37:B40"/>
    <mergeCell ref="B41:B44"/>
    <mergeCell ref="B17:B20"/>
    <mergeCell ref="B21:B24"/>
    <mergeCell ref="B25:B26"/>
    <mergeCell ref="B27:B30"/>
    <mergeCell ref="G21:G24"/>
    <mergeCell ref="G27:G30"/>
    <mergeCell ref="G33:G36"/>
    <mergeCell ref="E5:E6"/>
    <mergeCell ref="F5:F8"/>
    <mergeCell ref="E7:E8"/>
    <mergeCell ref="F9:F11"/>
    <mergeCell ref="G9:G11"/>
    <mergeCell ref="F12:F13"/>
    <mergeCell ref="G12:G14"/>
    <mergeCell ref="B9:B11"/>
    <mergeCell ref="B12:B14"/>
    <mergeCell ref="B15:B16"/>
    <mergeCell ref="G15:G16"/>
    <mergeCell ref="G17:G20"/>
    <mergeCell ref="B2:B4"/>
    <mergeCell ref="G2:G4"/>
    <mergeCell ref="H2:H4"/>
    <mergeCell ref="I2:I4"/>
    <mergeCell ref="B5:B8"/>
    <mergeCell ref="G5:G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64"/>
  <sheetViews>
    <sheetView zoomScale="86" workbookViewId="0">
      <pane xSplit="2" topLeftCell="D1" activePane="topRight" state="frozen"/>
      <selection pane="topRight" activeCell="H13" sqref="H13"/>
    </sheetView>
  </sheetViews>
  <sheetFormatPr defaultColWidth="12.6640625" defaultRowHeight="15.75" customHeight="1"/>
  <cols>
    <col min="1" max="1" width="12.6640625" style="10"/>
    <col min="2" max="2" width="27" bestFit="1" customWidth="1"/>
    <col min="3" max="3" width="14.88671875" bestFit="1" customWidth="1"/>
    <col min="4" max="4" width="13.6640625" customWidth="1"/>
    <col min="6" max="7" width="15.5546875" bestFit="1" customWidth="1"/>
    <col min="9" max="9" width="17.88671875" style="10" customWidth="1"/>
    <col min="10" max="10" width="16" bestFit="1" customWidth="1"/>
    <col min="11" max="11" width="18.21875" style="11" customWidth="1"/>
    <col min="12" max="12" width="20" style="11" customWidth="1"/>
    <col min="13" max="14" width="15.5546875" bestFit="1" customWidth="1"/>
    <col min="15" max="15" width="15.5546875" style="10" bestFit="1" customWidth="1"/>
  </cols>
  <sheetData>
    <row r="1" spans="1:15" s="22" customFormat="1" ht="43.2" customHeight="1">
      <c r="A1" s="133" t="s">
        <v>0</v>
      </c>
      <c r="B1" s="53" t="s">
        <v>1</v>
      </c>
      <c r="C1" s="53" t="s">
        <v>4</v>
      </c>
      <c r="D1" s="67" t="s">
        <v>203</v>
      </c>
      <c r="E1" s="53" t="s">
        <v>5</v>
      </c>
      <c r="F1" s="135" t="s">
        <v>7</v>
      </c>
      <c r="G1" s="53" t="s">
        <v>11</v>
      </c>
      <c r="H1" s="54"/>
      <c r="I1" s="125" t="s">
        <v>212</v>
      </c>
      <c r="J1" s="126" t="s">
        <v>200</v>
      </c>
      <c r="K1" s="126" t="s">
        <v>214</v>
      </c>
      <c r="L1" s="126" t="s">
        <v>215</v>
      </c>
      <c r="M1" s="81" t="s">
        <v>11</v>
      </c>
      <c r="N1" s="90"/>
      <c r="O1" s="149" t="s">
        <v>233</v>
      </c>
    </row>
    <row r="2" spans="1:15" ht="13.2">
      <c r="A2" s="134">
        <v>1</v>
      </c>
      <c r="B2" s="65" t="s">
        <v>16</v>
      </c>
      <c r="C2" s="63">
        <v>8</v>
      </c>
      <c r="D2" s="68">
        <v>46139</v>
      </c>
      <c r="E2" s="65" t="s">
        <v>25</v>
      </c>
      <c r="F2" s="3">
        <v>24000</v>
      </c>
      <c r="G2" s="1">
        <v>6400</v>
      </c>
      <c r="H2" s="4"/>
      <c r="I2" s="127">
        <f>SUM(F2/5)</f>
        <v>4800</v>
      </c>
      <c r="J2" s="128">
        <f>SUM(F2/10)</f>
        <v>2400</v>
      </c>
      <c r="K2" s="129">
        <f>SUM(J2*6)</f>
        <v>14400</v>
      </c>
      <c r="L2" s="129">
        <f>SUM(I2*5)</f>
        <v>24000</v>
      </c>
      <c r="M2" s="65">
        <f>SUM(G2)</f>
        <v>6400</v>
      </c>
      <c r="N2" s="4"/>
      <c r="O2" s="11">
        <f>SUM(L2-M2)</f>
        <v>17600</v>
      </c>
    </row>
    <row r="3" spans="1:15" ht="13.2">
      <c r="A3" s="134">
        <v>2</v>
      </c>
      <c r="B3" s="65" t="s">
        <v>26</v>
      </c>
      <c r="C3" s="63">
        <v>8</v>
      </c>
      <c r="D3" s="68">
        <v>46148</v>
      </c>
      <c r="E3" s="65" t="s">
        <v>25</v>
      </c>
      <c r="F3" s="1">
        <v>24000</v>
      </c>
      <c r="G3" s="1">
        <v>14500</v>
      </c>
      <c r="H3" s="4"/>
      <c r="I3" s="127">
        <f t="shared" ref="I3:I58" si="0">SUM(F3/5)</f>
        <v>4800</v>
      </c>
      <c r="J3" s="128">
        <f t="shared" ref="J3:J5" si="1">SUM(F3/10)</f>
        <v>2400</v>
      </c>
      <c r="K3" s="129">
        <f t="shared" ref="K3:K5" si="2">SUM(J3*6)</f>
        <v>14400</v>
      </c>
      <c r="L3" s="129">
        <f t="shared" ref="L3:L11" si="3">SUM(I3*5)</f>
        <v>24000</v>
      </c>
      <c r="M3" s="65">
        <f t="shared" ref="M3:M56" si="4">SUM(G3)</f>
        <v>14500</v>
      </c>
      <c r="N3" s="4"/>
      <c r="O3" s="11">
        <f t="shared" ref="O3:O58" si="5">SUM(L3-M3)</f>
        <v>9500</v>
      </c>
    </row>
    <row r="4" spans="1:15" ht="13.2">
      <c r="A4" s="134">
        <v>3</v>
      </c>
      <c r="B4" s="66" t="s">
        <v>27</v>
      </c>
      <c r="C4" s="64">
        <v>8</v>
      </c>
      <c r="D4" s="68">
        <v>46161</v>
      </c>
      <c r="E4" s="66" t="s">
        <v>28</v>
      </c>
      <c r="F4" s="1">
        <v>14000</v>
      </c>
      <c r="G4" s="3">
        <v>6800</v>
      </c>
      <c r="H4" s="5"/>
      <c r="I4" s="127">
        <f t="shared" si="0"/>
        <v>2800</v>
      </c>
      <c r="J4" s="128">
        <f t="shared" si="1"/>
        <v>1400</v>
      </c>
      <c r="K4" s="129">
        <f t="shared" si="2"/>
        <v>8400</v>
      </c>
      <c r="L4" s="129">
        <f t="shared" si="3"/>
        <v>14000</v>
      </c>
      <c r="M4" s="65">
        <f t="shared" si="4"/>
        <v>6800</v>
      </c>
      <c r="N4" s="5"/>
      <c r="O4" s="11">
        <f t="shared" si="5"/>
        <v>7200</v>
      </c>
    </row>
    <row r="5" spans="1:15" ht="13.2">
      <c r="A5" s="134">
        <v>4</v>
      </c>
      <c r="B5" s="66" t="s">
        <v>30</v>
      </c>
      <c r="C5" s="64">
        <v>12</v>
      </c>
      <c r="D5" s="68">
        <v>46172</v>
      </c>
      <c r="E5" s="66" t="s">
        <v>32</v>
      </c>
      <c r="F5" s="1">
        <v>28000</v>
      </c>
      <c r="G5" s="3">
        <v>23200</v>
      </c>
      <c r="H5" s="5"/>
      <c r="I5" s="127">
        <f t="shared" si="0"/>
        <v>5600</v>
      </c>
      <c r="J5" s="128">
        <f t="shared" si="1"/>
        <v>2800</v>
      </c>
      <c r="K5" s="129">
        <f t="shared" si="2"/>
        <v>16800</v>
      </c>
      <c r="L5" s="129">
        <f t="shared" si="3"/>
        <v>28000</v>
      </c>
      <c r="M5" s="65">
        <f t="shared" si="4"/>
        <v>23200</v>
      </c>
      <c r="N5" s="5"/>
      <c r="O5" s="11">
        <f t="shared" si="5"/>
        <v>4800</v>
      </c>
    </row>
    <row r="6" spans="1:15" ht="13.2">
      <c r="A6" s="134">
        <v>5</v>
      </c>
      <c r="B6" s="66" t="s">
        <v>34</v>
      </c>
      <c r="C6" s="64">
        <v>9</v>
      </c>
      <c r="D6" s="68">
        <v>46179</v>
      </c>
      <c r="E6" s="66" t="s">
        <v>28</v>
      </c>
      <c r="F6" s="1">
        <v>14000</v>
      </c>
      <c r="G6" s="3">
        <v>9400</v>
      </c>
      <c r="H6" s="5"/>
      <c r="I6" s="127">
        <f t="shared" si="0"/>
        <v>2800</v>
      </c>
      <c r="J6" s="128">
        <f>SUM(F6/8)</f>
        <v>1750</v>
      </c>
      <c r="K6" s="129">
        <f>SUM(J6*5)</f>
        <v>8750</v>
      </c>
      <c r="L6" s="129">
        <f t="shared" si="3"/>
        <v>14000</v>
      </c>
      <c r="M6" s="65">
        <f t="shared" si="4"/>
        <v>9400</v>
      </c>
      <c r="N6" s="5"/>
      <c r="O6" s="11">
        <f t="shared" si="5"/>
        <v>4600</v>
      </c>
    </row>
    <row r="7" spans="1:15" ht="13.2">
      <c r="A7" s="134">
        <v>6</v>
      </c>
      <c r="B7" s="66" t="s">
        <v>36</v>
      </c>
      <c r="C7" s="64">
        <v>9</v>
      </c>
      <c r="D7" s="68">
        <v>46183</v>
      </c>
      <c r="E7" s="66" t="s">
        <v>25</v>
      </c>
      <c r="F7" s="1">
        <v>24000</v>
      </c>
      <c r="G7" s="3">
        <v>15600</v>
      </c>
      <c r="H7" s="5"/>
      <c r="I7" s="127">
        <f t="shared" si="0"/>
        <v>4800</v>
      </c>
      <c r="J7" s="128">
        <f t="shared" ref="J7:J31" si="6">SUM(F7/8)</f>
        <v>3000</v>
      </c>
      <c r="K7" s="129">
        <f t="shared" ref="K7:K14" si="7">SUM(J7*5)</f>
        <v>15000</v>
      </c>
      <c r="L7" s="129">
        <f t="shared" si="3"/>
        <v>24000</v>
      </c>
      <c r="M7" s="65">
        <f t="shared" si="4"/>
        <v>15600</v>
      </c>
      <c r="N7" s="5"/>
      <c r="O7" s="11">
        <f t="shared" si="5"/>
        <v>8400</v>
      </c>
    </row>
    <row r="8" spans="1:15" ht="13.2">
      <c r="A8" s="134">
        <v>7</v>
      </c>
      <c r="B8" s="66" t="s">
        <v>38</v>
      </c>
      <c r="C8" s="64">
        <v>9</v>
      </c>
      <c r="D8" s="68">
        <v>46183</v>
      </c>
      <c r="E8" s="66" t="s">
        <v>25</v>
      </c>
      <c r="F8" s="1">
        <v>24000</v>
      </c>
      <c r="G8" s="3">
        <v>11100</v>
      </c>
      <c r="H8" s="5"/>
      <c r="I8" s="127">
        <f t="shared" si="0"/>
        <v>4800</v>
      </c>
      <c r="J8" s="128">
        <f t="shared" si="6"/>
        <v>3000</v>
      </c>
      <c r="K8" s="129">
        <f t="shared" si="7"/>
        <v>15000</v>
      </c>
      <c r="L8" s="129">
        <f t="shared" si="3"/>
        <v>24000</v>
      </c>
      <c r="M8" s="65">
        <f t="shared" si="4"/>
        <v>11100</v>
      </c>
      <c r="N8" s="5"/>
      <c r="O8" s="11">
        <f t="shared" si="5"/>
        <v>12900</v>
      </c>
    </row>
    <row r="9" spans="1:15" ht="13.2">
      <c r="A9" s="134">
        <v>8</v>
      </c>
      <c r="B9" s="66" t="s">
        <v>39</v>
      </c>
      <c r="C9" s="64">
        <v>11</v>
      </c>
      <c r="D9" s="68">
        <v>46183</v>
      </c>
      <c r="E9" s="66" t="s">
        <v>40</v>
      </c>
      <c r="F9" s="1">
        <v>24000</v>
      </c>
      <c r="G9" s="3">
        <v>15200</v>
      </c>
      <c r="H9" s="5"/>
      <c r="I9" s="127">
        <f t="shared" si="0"/>
        <v>4800</v>
      </c>
      <c r="J9" s="128">
        <f t="shared" si="6"/>
        <v>3000</v>
      </c>
      <c r="K9" s="129">
        <f t="shared" si="7"/>
        <v>15000</v>
      </c>
      <c r="L9" s="129">
        <f t="shared" si="3"/>
        <v>24000</v>
      </c>
      <c r="M9" s="65">
        <f t="shared" si="4"/>
        <v>15200</v>
      </c>
      <c r="N9" s="5"/>
      <c r="O9" s="11">
        <f t="shared" si="5"/>
        <v>8800</v>
      </c>
    </row>
    <row r="10" spans="1:15" ht="13.2">
      <c r="A10" s="134">
        <v>9</v>
      </c>
      <c r="B10" s="66" t="s">
        <v>41</v>
      </c>
      <c r="C10" s="64">
        <v>8</v>
      </c>
      <c r="D10" s="68">
        <v>46183</v>
      </c>
      <c r="E10" s="66" t="s">
        <v>25</v>
      </c>
      <c r="F10" s="1">
        <v>24000</v>
      </c>
      <c r="G10" s="3">
        <v>16400</v>
      </c>
      <c r="H10" s="5"/>
      <c r="I10" s="127">
        <f t="shared" si="0"/>
        <v>4800</v>
      </c>
      <c r="J10" s="128">
        <f t="shared" si="6"/>
        <v>3000</v>
      </c>
      <c r="K10" s="129">
        <f t="shared" si="7"/>
        <v>15000</v>
      </c>
      <c r="L10" s="129">
        <f t="shared" si="3"/>
        <v>24000</v>
      </c>
      <c r="M10" s="65">
        <f t="shared" si="4"/>
        <v>16400</v>
      </c>
      <c r="N10" s="5"/>
      <c r="O10" s="11">
        <f t="shared" si="5"/>
        <v>7600</v>
      </c>
    </row>
    <row r="11" spans="1:15" ht="13.8">
      <c r="A11" s="134">
        <v>10</v>
      </c>
      <c r="B11" s="66" t="s">
        <v>43</v>
      </c>
      <c r="C11" s="64">
        <v>9</v>
      </c>
      <c r="D11" s="68">
        <v>46188</v>
      </c>
      <c r="E11" s="66" t="s">
        <v>28</v>
      </c>
      <c r="F11" s="1">
        <v>15000</v>
      </c>
      <c r="G11" s="6">
        <v>7800</v>
      </c>
      <c r="H11" s="5"/>
      <c r="I11" s="127">
        <f t="shared" si="0"/>
        <v>3000</v>
      </c>
      <c r="J11" s="128">
        <f t="shared" si="6"/>
        <v>1875</v>
      </c>
      <c r="K11" s="129">
        <f t="shared" si="7"/>
        <v>9375</v>
      </c>
      <c r="L11" s="129">
        <f t="shared" si="3"/>
        <v>15000</v>
      </c>
      <c r="M11" s="65">
        <f t="shared" si="4"/>
        <v>7800</v>
      </c>
      <c r="N11" s="5"/>
      <c r="O11" s="11">
        <f t="shared" si="5"/>
        <v>7200</v>
      </c>
    </row>
    <row r="12" spans="1:15" ht="13.2">
      <c r="A12" s="134">
        <v>11</v>
      </c>
      <c r="B12" s="66" t="s">
        <v>45</v>
      </c>
      <c r="C12" s="64">
        <v>11</v>
      </c>
      <c r="D12" s="68">
        <v>46195</v>
      </c>
      <c r="E12" s="66" t="s">
        <v>32</v>
      </c>
      <c r="F12" s="1">
        <v>20000</v>
      </c>
      <c r="G12" s="3">
        <v>20000</v>
      </c>
      <c r="H12" s="5"/>
      <c r="I12" s="127">
        <f t="shared" si="0"/>
        <v>4000</v>
      </c>
      <c r="J12" s="128">
        <f t="shared" si="6"/>
        <v>2500</v>
      </c>
      <c r="K12" s="129">
        <f t="shared" si="7"/>
        <v>12500</v>
      </c>
      <c r="L12" s="129">
        <f>SUM(I12*5)</f>
        <v>20000</v>
      </c>
      <c r="M12" s="65">
        <f t="shared" si="4"/>
        <v>20000</v>
      </c>
      <c r="N12" s="5"/>
      <c r="O12" s="11">
        <f t="shared" si="5"/>
        <v>0</v>
      </c>
    </row>
    <row r="13" spans="1:15" ht="13.2">
      <c r="A13" s="134">
        <v>12</v>
      </c>
      <c r="B13" s="66" t="s">
        <v>46</v>
      </c>
      <c r="C13" s="64">
        <v>12</v>
      </c>
      <c r="D13" s="68">
        <v>46196</v>
      </c>
      <c r="E13" s="66" t="s">
        <v>47</v>
      </c>
      <c r="F13" s="1">
        <v>15000</v>
      </c>
      <c r="G13" s="3">
        <v>5400</v>
      </c>
      <c r="H13" s="5"/>
      <c r="I13" s="127">
        <f t="shared" si="0"/>
        <v>3000</v>
      </c>
      <c r="J13" s="128">
        <f t="shared" si="6"/>
        <v>1875</v>
      </c>
      <c r="K13" s="129">
        <f t="shared" si="7"/>
        <v>9375</v>
      </c>
      <c r="L13" s="129">
        <f t="shared" ref="L13:L14" si="8">SUM(I13*5)</f>
        <v>15000</v>
      </c>
      <c r="M13" s="65">
        <f t="shared" si="4"/>
        <v>5400</v>
      </c>
      <c r="N13" s="5"/>
      <c r="O13" s="11">
        <f t="shared" si="5"/>
        <v>9600</v>
      </c>
    </row>
    <row r="14" spans="1:15" ht="13.2">
      <c r="A14" s="134">
        <v>13</v>
      </c>
      <c r="B14" s="66" t="s">
        <v>48</v>
      </c>
      <c r="C14" s="64">
        <v>12</v>
      </c>
      <c r="D14" s="68">
        <v>46198</v>
      </c>
      <c r="E14" s="66" t="s">
        <v>32</v>
      </c>
      <c r="F14" s="1">
        <v>28000</v>
      </c>
      <c r="G14" s="3">
        <v>18000</v>
      </c>
      <c r="H14" s="5"/>
      <c r="I14" s="127">
        <f t="shared" si="0"/>
        <v>5600</v>
      </c>
      <c r="J14" s="128">
        <f t="shared" si="6"/>
        <v>3500</v>
      </c>
      <c r="K14" s="129">
        <f t="shared" si="7"/>
        <v>17500</v>
      </c>
      <c r="L14" s="129">
        <f t="shared" si="8"/>
        <v>28000</v>
      </c>
      <c r="M14" s="65">
        <f t="shared" si="4"/>
        <v>18000</v>
      </c>
      <c r="N14" s="5"/>
      <c r="O14" s="11">
        <f t="shared" si="5"/>
        <v>10000</v>
      </c>
    </row>
    <row r="15" spans="1:15" ht="13.2">
      <c r="A15" s="134">
        <v>14</v>
      </c>
      <c r="B15" s="66" t="s">
        <v>50</v>
      </c>
      <c r="C15" s="64">
        <v>12</v>
      </c>
      <c r="D15" s="68">
        <v>46200</v>
      </c>
      <c r="E15" s="66" t="s">
        <v>40</v>
      </c>
      <c r="F15" s="1">
        <v>28000</v>
      </c>
      <c r="G15" s="3">
        <v>13000</v>
      </c>
      <c r="H15" s="5"/>
      <c r="I15" s="127">
        <f t="shared" si="0"/>
        <v>5600</v>
      </c>
      <c r="J15" s="128">
        <f t="shared" si="6"/>
        <v>3500</v>
      </c>
      <c r="K15" s="129">
        <f>SUM(J15*4)</f>
        <v>14000</v>
      </c>
      <c r="L15" s="129">
        <f t="shared" ref="L15:L29" si="9">SUM(I15*4)</f>
        <v>22400</v>
      </c>
      <c r="M15" s="65">
        <f t="shared" si="4"/>
        <v>13000</v>
      </c>
      <c r="N15" s="5"/>
      <c r="O15" s="11">
        <f t="shared" si="5"/>
        <v>9400</v>
      </c>
    </row>
    <row r="16" spans="1:15" ht="13.2">
      <c r="A16" s="134">
        <v>15</v>
      </c>
      <c r="B16" s="66" t="s">
        <v>52</v>
      </c>
      <c r="C16" s="64">
        <v>10</v>
      </c>
      <c r="D16" s="68">
        <v>46203</v>
      </c>
      <c r="E16" s="66" t="s">
        <v>25</v>
      </c>
      <c r="F16" s="1">
        <v>28000</v>
      </c>
      <c r="G16" s="3">
        <v>13000</v>
      </c>
      <c r="H16" s="5"/>
      <c r="I16" s="127">
        <f t="shared" si="0"/>
        <v>5600</v>
      </c>
      <c r="J16" s="128">
        <f t="shared" si="6"/>
        <v>3500</v>
      </c>
      <c r="K16" s="129">
        <f t="shared" ref="K16:K31" si="10">SUM(J16*4)</f>
        <v>14000</v>
      </c>
      <c r="L16" s="129">
        <f t="shared" si="9"/>
        <v>22400</v>
      </c>
      <c r="M16" s="65">
        <f t="shared" si="4"/>
        <v>13000</v>
      </c>
      <c r="N16" s="5"/>
      <c r="O16" s="10">
        <f t="shared" si="5"/>
        <v>9400</v>
      </c>
    </row>
    <row r="17" spans="1:15" ht="13.2">
      <c r="A17" s="134">
        <v>16</v>
      </c>
      <c r="B17" s="143" t="s">
        <v>228</v>
      </c>
      <c r="C17" s="64">
        <v>10</v>
      </c>
      <c r="D17" s="68">
        <v>46204</v>
      </c>
      <c r="E17" s="66" t="s">
        <v>25</v>
      </c>
      <c r="F17" s="1">
        <v>28000</v>
      </c>
      <c r="G17" s="3">
        <v>9600</v>
      </c>
      <c r="H17" s="5"/>
      <c r="I17" s="127">
        <f t="shared" si="0"/>
        <v>5600</v>
      </c>
      <c r="J17" s="128">
        <f t="shared" si="6"/>
        <v>3500</v>
      </c>
      <c r="K17" s="129">
        <f t="shared" si="10"/>
        <v>14000</v>
      </c>
      <c r="L17" s="129">
        <f t="shared" si="9"/>
        <v>22400</v>
      </c>
      <c r="M17" s="65">
        <f t="shared" si="4"/>
        <v>9600</v>
      </c>
      <c r="N17" s="5"/>
      <c r="O17" s="10">
        <f t="shared" si="5"/>
        <v>12800</v>
      </c>
    </row>
    <row r="18" spans="1:15" ht="13.2">
      <c r="A18" s="134">
        <v>17</v>
      </c>
      <c r="B18" s="66" t="s">
        <v>54</v>
      </c>
      <c r="C18" s="64">
        <v>8</v>
      </c>
      <c r="D18" s="68">
        <v>46205</v>
      </c>
      <c r="E18" s="66" t="s">
        <v>25</v>
      </c>
      <c r="F18" s="1">
        <v>24000</v>
      </c>
      <c r="G18" s="3">
        <v>11400</v>
      </c>
      <c r="H18" s="5"/>
      <c r="I18" s="127">
        <f t="shared" si="0"/>
        <v>4800</v>
      </c>
      <c r="J18" s="128">
        <f t="shared" si="6"/>
        <v>3000</v>
      </c>
      <c r="K18" s="129">
        <f t="shared" si="10"/>
        <v>12000</v>
      </c>
      <c r="L18" s="129">
        <f t="shared" si="9"/>
        <v>19200</v>
      </c>
      <c r="M18" s="65">
        <f t="shared" si="4"/>
        <v>11400</v>
      </c>
      <c r="N18" s="5"/>
      <c r="O18" s="10">
        <f t="shared" si="5"/>
        <v>7800</v>
      </c>
    </row>
    <row r="19" spans="1:15" ht="13.2">
      <c r="A19" s="134">
        <v>18</v>
      </c>
      <c r="B19" s="66" t="s">
        <v>56</v>
      </c>
      <c r="C19" s="64">
        <v>12</v>
      </c>
      <c r="D19" s="68">
        <v>46205</v>
      </c>
      <c r="E19" s="66" t="s">
        <v>57</v>
      </c>
      <c r="F19" s="1">
        <v>15000</v>
      </c>
      <c r="G19" s="3">
        <v>7500</v>
      </c>
      <c r="H19" s="5"/>
      <c r="I19" s="127">
        <f t="shared" si="0"/>
        <v>3000</v>
      </c>
      <c r="J19" s="128">
        <f t="shared" si="6"/>
        <v>1875</v>
      </c>
      <c r="K19" s="129">
        <f t="shared" si="10"/>
        <v>7500</v>
      </c>
      <c r="L19" s="129">
        <f t="shared" si="9"/>
        <v>12000</v>
      </c>
      <c r="M19" s="65">
        <f t="shared" si="4"/>
        <v>7500</v>
      </c>
      <c r="N19" s="5"/>
      <c r="O19" s="10">
        <f t="shared" si="5"/>
        <v>4500</v>
      </c>
    </row>
    <row r="20" spans="1:15" ht="13.2">
      <c r="A20" s="134">
        <v>19</v>
      </c>
      <c r="B20" s="66" t="s">
        <v>58</v>
      </c>
      <c r="C20" s="64">
        <v>9</v>
      </c>
      <c r="D20" s="68">
        <v>46206</v>
      </c>
      <c r="E20" s="66" t="s">
        <v>25</v>
      </c>
      <c r="F20" s="1">
        <v>24000</v>
      </c>
      <c r="G20" s="3">
        <v>3000</v>
      </c>
      <c r="H20" s="5"/>
      <c r="I20" s="127">
        <f t="shared" si="0"/>
        <v>4800</v>
      </c>
      <c r="J20" s="128">
        <f t="shared" si="6"/>
        <v>3000</v>
      </c>
      <c r="K20" s="129">
        <f t="shared" si="10"/>
        <v>12000</v>
      </c>
      <c r="L20" s="129">
        <f t="shared" si="9"/>
        <v>19200</v>
      </c>
      <c r="M20" s="65">
        <f t="shared" si="4"/>
        <v>3000</v>
      </c>
      <c r="N20" s="5"/>
      <c r="O20" s="10">
        <f t="shared" si="5"/>
        <v>16200</v>
      </c>
    </row>
    <row r="21" spans="1:15" ht="13.2">
      <c r="A21" s="134">
        <v>20</v>
      </c>
      <c r="B21" s="66" t="s">
        <v>61</v>
      </c>
      <c r="C21" s="64">
        <v>10</v>
      </c>
      <c r="D21" s="68">
        <v>46206</v>
      </c>
      <c r="E21" s="66" t="s">
        <v>25</v>
      </c>
      <c r="F21" s="1">
        <v>28000</v>
      </c>
      <c r="G21" s="3">
        <v>18000</v>
      </c>
      <c r="H21" s="5"/>
      <c r="I21" s="127">
        <f t="shared" si="0"/>
        <v>5600</v>
      </c>
      <c r="J21" s="128">
        <f t="shared" si="6"/>
        <v>3500</v>
      </c>
      <c r="K21" s="129">
        <f t="shared" si="10"/>
        <v>14000</v>
      </c>
      <c r="L21" s="129">
        <f t="shared" si="9"/>
        <v>22400</v>
      </c>
      <c r="M21" s="65">
        <f t="shared" si="4"/>
        <v>18000</v>
      </c>
      <c r="N21" s="5"/>
      <c r="O21" s="10">
        <f t="shared" si="5"/>
        <v>4400</v>
      </c>
    </row>
    <row r="22" spans="1:15" ht="13.2">
      <c r="A22" s="134">
        <v>21</v>
      </c>
      <c r="B22" s="66" t="s">
        <v>64</v>
      </c>
      <c r="C22" s="64">
        <v>8</v>
      </c>
      <c r="D22" s="68">
        <v>46208</v>
      </c>
      <c r="E22" s="66" t="s">
        <v>25</v>
      </c>
      <c r="F22" s="1">
        <v>24000</v>
      </c>
      <c r="G22" s="3">
        <v>11400</v>
      </c>
      <c r="H22" s="5"/>
      <c r="I22" s="127">
        <f t="shared" si="0"/>
        <v>4800</v>
      </c>
      <c r="J22" s="128">
        <f t="shared" si="6"/>
        <v>3000</v>
      </c>
      <c r="K22" s="129">
        <f t="shared" si="10"/>
        <v>12000</v>
      </c>
      <c r="L22" s="129">
        <f t="shared" si="9"/>
        <v>19200</v>
      </c>
      <c r="M22" s="65">
        <f t="shared" si="4"/>
        <v>11400</v>
      </c>
      <c r="N22" s="5"/>
      <c r="O22" s="10">
        <f t="shared" si="5"/>
        <v>7800</v>
      </c>
    </row>
    <row r="23" spans="1:15" ht="13.2">
      <c r="A23" s="134">
        <v>22</v>
      </c>
      <c r="B23" s="66" t="s">
        <v>65</v>
      </c>
      <c r="C23" s="64">
        <v>9</v>
      </c>
      <c r="D23" s="68">
        <v>46210</v>
      </c>
      <c r="E23" s="66" t="s">
        <v>66</v>
      </c>
      <c r="F23" s="1">
        <v>18000</v>
      </c>
      <c r="G23" s="3">
        <v>9600</v>
      </c>
      <c r="H23" s="5"/>
      <c r="I23" s="127">
        <f t="shared" si="0"/>
        <v>3600</v>
      </c>
      <c r="J23" s="128">
        <f t="shared" si="6"/>
        <v>2250</v>
      </c>
      <c r="K23" s="129">
        <f t="shared" si="10"/>
        <v>9000</v>
      </c>
      <c r="L23" s="129">
        <f t="shared" si="9"/>
        <v>14400</v>
      </c>
      <c r="M23" s="65">
        <f t="shared" si="4"/>
        <v>9600</v>
      </c>
      <c r="N23" s="5"/>
      <c r="O23" s="10">
        <f t="shared" si="5"/>
        <v>4800</v>
      </c>
    </row>
    <row r="24" spans="1:15" ht="13.2">
      <c r="A24" s="134">
        <v>23</v>
      </c>
      <c r="B24" s="66" t="s">
        <v>67</v>
      </c>
      <c r="C24" s="64">
        <v>10</v>
      </c>
      <c r="D24" s="68">
        <v>46212</v>
      </c>
      <c r="E24" s="66" t="s">
        <v>47</v>
      </c>
      <c r="F24" s="1">
        <v>15000</v>
      </c>
      <c r="G24" s="3">
        <v>15000</v>
      </c>
      <c r="H24" s="5"/>
      <c r="I24" s="127">
        <f t="shared" si="0"/>
        <v>3000</v>
      </c>
      <c r="J24" s="128">
        <f t="shared" si="6"/>
        <v>1875</v>
      </c>
      <c r="K24" s="129">
        <f t="shared" si="10"/>
        <v>7500</v>
      </c>
      <c r="L24" s="129">
        <f t="shared" si="9"/>
        <v>12000</v>
      </c>
      <c r="M24" s="65">
        <f t="shared" si="4"/>
        <v>15000</v>
      </c>
      <c r="N24" s="5"/>
      <c r="O24" s="10">
        <v>0</v>
      </c>
    </row>
    <row r="25" spans="1:15" ht="13.2">
      <c r="A25" s="134">
        <v>24</v>
      </c>
      <c r="B25" s="66" t="s">
        <v>69</v>
      </c>
      <c r="C25" s="64">
        <v>9</v>
      </c>
      <c r="D25" s="68">
        <v>46213</v>
      </c>
      <c r="E25" s="66" t="s">
        <v>25</v>
      </c>
      <c r="F25" s="1">
        <v>22500</v>
      </c>
      <c r="G25" s="3">
        <v>10800</v>
      </c>
      <c r="H25" s="5"/>
      <c r="I25" s="127">
        <f t="shared" si="0"/>
        <v>4500</v>
      </c>
      <c r="J25" s="128">
        <f t="shared" si="6"/>
        <v>2812.5</v>
      </c>
      <c r="K25" s="129">
        <f t="shared" si="10"/>
        <v>11250</v>
      </c>
      <c r="L25" s="129">
        <f t="shared" si="9"/>
        <v>18000</v>
      </c>
      <c r="M25" s="65">
        <f t="shared" si="4"/>
        <v>10800</v>
      </c>
      <c r="N25" s="5"/>
      <c r="O25" s="10">
        <f t="shared" si="5"/>
        <v>7200</v>
      </c>
    </row>
    <row r="26" spans="1:15" ht="13.2">
      <c r="A26" s="134">
        <v>25</v>
      </c>
      <c r="B26" s="66" t="s">
        <v>72</v>
      </c>
      <c r="C26" s="64">
        <v>12</v>
      </c>
      <c r="D26" s="68">
        <v>46213</v>
      </c>
      <c r="E26" s="66" t="s">
        <v>74</v>
      </c>
      <c r="F26" s="1">
        <v>19000</v>
      </c>
      <c r="G26" s="3">
        <v>15000</v>
      </c>
      <c r="H26" s="5"/>
      <c r="I26" s="127">
        <f t="shared" si="0"/>
        <v>3800</v>
      </c>
      <c r="J26" s="128">
        <f t="shared" si="6"/>
        <v>2375</v>
      </c>
      <c r="K26" s="129">
        <f t="shared" si="10"/>
        <v>9500</v>
      </c>
      <c r="L26" s="129">
        <f t="shared" si="9"/>
        <v>15200</v>
      </c>
      <c r="M26" s="65">
        <f t="shared" si="4"/>
        <v>15000</v>
      </c>
      <c r="N26" s="5"/>
      <c r="O26" s="10">
        <f t="shared" si="5"/>
        <v>200</v>
      </c>
    </row>
    <row r="27" spans="1:15" ht="13.2">
      <c r="A27" s="134">
        <v>26</v>
      </c>
      <c r="B27" s="66" t="s">
        <v>75</v>
      </c>
      <c r="C27" s="64">
        <v>9</v>
      </c>
      <c r="D27" s="68">
        <v>46216</v>
      </c>
      <c r="E27" s="66" t="s">
        <v>25</v>
      </c>
      <c r="F27" s="1">
        <v>22500</v>
      </c>
      <c r="G27" s="3">
        <v>10500</v>
      </c>
      <c r="H27" s="5"/>
      <c r="I27" s="127">
        <f t="shared" si="0"/>
        <v>4500</v>
      </c>
      <c r="J27" s="128">
        <f t="shared" si="6"/>
        <v>2812.5</v>
      </c>
      <c r="K27" s="129">
        <f t="shared" si="10"/>
        <v>11250</v>
      </c>
      <c r="L27" s="129">
        <f t="shared" si="9"/>
        <v>18000</v>
      </c>
      <c r="M27" s="65">
        <f t="shared" si="4"/>
        <v>10500</v>
      </c>
      <c r="N27" s="5"/>
      <c r="O27" s="10">
        <f t="shared" si="5"/>
        <v>7500</v>
      </c>
    </row>
    <row r="28" spans="1:15" ht="13.2">
      <c r="A28" s="134">
        <v>27</v>
      </c>
      <c r="B28" s="66" t="s">
        <v>77</v>
      </c>
      <c r="C28" s="64">
        <v>10</v>
      </c>
      <c r="D28" s="68">
        <v>46216</v>
      </c>
      <c r="E28" s="66" t="s">
        <v>25</v>
      </c>
      <c r="F28" s="3" t="s">
        <v>78</v>
      </c>
      <c r="G28" s="3" t="s">
        <v>78</v>
      </c>
      <c r="H28" s="5"/>
      <c r="I28" s="3" t="s">
        <v>78</v>
      </c>
      <c r="J28" s="3" t="s">
        <v>78</v>
      </c>
      <c r="K28" s="3" t="s">
        <v>78</v>
      </c>
      <c r="L28" s="3" t="s">
        <v>78</v>
      </c>
      <c r="M28" s="3" t="s">
        <v>78</v>
      </c>
      <c r="O28" s="3" t="s">
        <v>78</v>
      </c>
    </row>
    <row r="29" spans="1:15" ht="13.2">
      <c r="A29" s="134">
        <v>28</v>
      </c>
      <c r="B29" s="66" t="s">
        <v>81</v>
      </c>
      <c r="C29" s="64">
        <v>8</v>
      </c>
      <c r="D29" s="68">
        <v>46219</v>
      </c>
      <c r="E29" s="66" t="s">
        <v>25</v>
      </c>
      <c r="F29" s="3" t="s">
        <v>78</v>
      </c>
      <c r="G29" s="3" t="s">
        <v>78</v>
      </c>
      <c r="H29" s="5"/>
      <c r="I29" s="3" t="s">
        <v>78</v>
      </c>
      <c r="J29" s="3" t="s">
        <v>78</v>
      </c>
      <c r="K29" s="3" t="s">
        <v>78</v>
      </c>
      <c r="L29" s="3" t="s">
        <v>78</v>
      </c>
      <c r="M29" s="3" t="s">
        <v>78</v>
      </c>
      <c r="O29" s="3" t="s">
        <v>78</v>
      </c>
    </row>
    <row r="30" spans="1:15" ht="13.2">
      <c r="A30" s="134">
        <v>29</v>
      </c>
      <c r="B30" s="66" t="s">
        <v>83</v>
      </c>
      <c r="C30" s="64">
        <v>9</v>
      </c>
      <c r="D30" s="68">
        <v>46227</v>
      </c>
      <c r="E30" s="66" t="s">
        <v>25</v>
      </c>
      <c r="F30" s="1">
        <v>20250</v>
      </c>
      <c r="G30" s="3">
        <v>6450</v>
      </c>
      <c r="H30" s="5"/>
      <c r="I30" s="127">
        <f t="shared" si="0"/>
        <v>4050</v>
      </c>
      <c r="J30" s="128">
        <f t="shared" si="6"/>
        <v>2531.25</v>
      </c>
      <c r="K30" s="129">
        <f t="shared" si="10"/>
        <v>10125</v>
      </c>
      <c r="L30" s="129">
        <f>SUM(I30*3)</f>
        <v>12150</v>
      </c>
      <c r="M30" s="65">
        <f t="shared" si="4"/>
        <v>6450</v>
      </c>
      <c r="N30" s="5"/>
      <c r="O30" s="10">
        <f t="shared" si="5"/>
        <v>5700</v>
      </c>
    </row>
    <row r="31" spans="1:15" ht="13.2">
      <c r="A31" s="134">
        <v>30</v>
      </c>
      <c r="B31" s="66" t="s">
        <v>85</v>
      </c>
      <c r="C31" s="64">
        <v>8</v>
      </c>
      <c r="D31" s="68">
        <v>46227</v>
      </c>
      <c r="E31" s="66" t="s">
        <v>25</v>
      </c>
      <c r="F31" s="1">
        <v>20250</v>
      </c>
      <c r="G31" s="3">
        <v>6450</v>
      </c>
      <c r="H31" s="5"/>
      <c r="I31" s="127">
        <f t="shared" si="0"/>
        <v>4050</v>
      </c>
      <c r="J31" s="128">
        <f t="shared" si="6"/>
        <v>2531.25</v>
      </c>
      <c r="K31" s="129">
        <f t="shared" si="10"/>
        <v>10125</v>
      </c>
      <c r="L31" s="129">
        <f t="shared" ref="L31:L38" si="11">SUM(I31*3)</f>
        <v>12150</v>
      </c>
      <c r="M31" s="65">
        <f t="shared" si="4"/>
        <v>6450</v>
      </c>
      <c r="N31" s="5"/>
      <c r="O31" s="10">
        <f t="shared" si="5"/>
        <v>5700</v>
      </c>
    </row>
    <row r="32" spans="1:15" ht="13.2">
      <c r="A32" s="134">
        <v>31</v>
      </c>
      <c r="B32" s="66" t="s">
        <v>86</v>
      </c>
      <c r="C32" s="64">
        <v>10</v>
      </c>
      <c r="D32" s="68">
        <v>46231</v>
      </c>
      <c r="E32" s="66" t="s">
        <v>74</v>
      </c>
      <c r="F32" s="1">
        <v>13500</v>
      </c>
      <c r="G32" s="3">
        <v>4300</v>
      </c>
      <c r="H32" s="5"/>
      <c r="I32" s="127">
        <f t="shared" si="0"/>
        <v>2700</v>
      </c>
      <c r="J32" s="128">
        <f>SUM(F32/7)</f>
        <v>1928.5714285714287</v>
      </c>
      <c r="K32" s="129">
        <f>SUM(J32*3)</f>
        <v>5785.7142857142862</v>
      </c>
      <c r="L32" s="129">
        <f t="shared" si="11"/>
        <v>8100</v>
      </c>
      <c r="M32" s="65">
        <f t="shared" si="4"/>
        <v>4300</v>
      </c>
      <c r="N32" s="5"/>
      <c r="O32" s="10">
        <f t="shared" si="5"/>
        <v>3800</v>
      </c>
    </row>
    <row r="33" spans="1:15" ht="13.2">
      <c r="A33" s="134">
        <v>32</v>
      </c>
      <c r="B33" s="66" t="s">
        <v>89</v>
      </c>
      <c r="C33" s="64">
        <v>10</v>
      </c>
      <c r="D33" s="68">
        <v>46231</v>
      </c>
      <c r="E33" s="66" t="s">
        <v>74</v>
      </c>
      <c r="F33" s="1">
        <v>13500</v>
      </c>
      <c r="G33" s="3">
        <v>4300</v>
      </c>
      <c r="H33" s="5"/>
      <c r="I33" s="127">
        <f t="shared" si="0"/>
        <v>2700</v>
      </c>
      <c r="J33" s="128">
        <f t="shared" ref="J33:J38" si="12">SUM(F33/7)</f>
        <v>1928.5714285714287</v>
      </c>
      <c r="K33" s="129">
        <f t="shared" ref="K33:K38" si="13">SUM(J33*3)</f>
        <v>5785.7142857142862</v>
      </c>
      <c r="L33" s="129">
        <f t="shared" si="11"/>
        <v>8100</v>
      </c>
      <c r="M33" s="65">
        <f t="shared" si="4"/>
        <v>4300</v>
      </c>
      <c r="N33" s="5"/>
      <c r="O33" s="10">
        <f t="shared" si="5"/>
        <v>3800</v>
      </c>
    </row>
    <row r="34" spans="1:15" ht="13.2">
      <c r="A34" s="134">
        <v>33</v>
      </c>
      <c r="B34" s="66" t="s">
        <v>90</v>
      </c>
      <c r="C34" s="64">
        <v>10</v>
      </c>
      <c r="D34" s="68">
        <v>46235</v>
      </c>
      <c r="E34" s="66" t="s">
        <v>25</v>
      </c>
      <c r="F34" s="1">
        <v>27000</v>
      </c>
      <c r="G34" s="3">
        <v>7400</v>
      </c>
      <c r="H34" s="5"/>
      <c r="I34" s="127">
        <f t="shared" si="0"/>
        <v>5400</v>
      </c>
      <c r="J34" s="128">
        <f t="shared" si="12"/>
        <v>3857.1428571428573</v>
      </c>
      <c r="K34" s="129">
        <f t="shared" si="13"/>
        <v>11571.428571428572</v>
      </c>
      <c r="L34" s="129">
        <f t="shared" si="11"/>
        <v>16200</v>
      </c>
      <c r="M34" s="65">
        <f t="shared" si="4"/>
        <v>7400</v>
      </c>
      <c r="N34" s="5"/>
      <c r="O34" s="10">
        <f t="shared" si="5"/>
        <v>8800</v>
      </c>
    </row>
    <row r="35" spans="1:15" ht="13.2">
      <c r="A35" s="134">
        <v>34</v>
      </c>
      <c r="B35" s="66" t="s">
        <v>91</v>
      </c>
      <c r="C35" s="64">
        <v>10</v>
      </c>
      <c r="D35" s="68">
        <v>46238</v>
      </c>
      <c r="E35" s="66" t="s">
        <v>25</v>
      </c>
      <c r="F35" s="1">
        <v>27000</v>
      </c>
      <c r="G35" s="3">
        <v>3000</v>
      </c>
      <c r="H35" s="5"/>
      <c r="I35" s="127">
        <f t="shared" si="0"/>
        <v>5400</v>
      </c>
      <c r="J35" s="128">
        <f t="shared" si="12"/>
        <v>3857.1428571428573</v>
      </c>
      <c r="K35" s="129">
        <f t="shared" si="13"/>
        <v>11571.428571428572</v>
      </c>
      <c r="L35" s="129">
        <f t="shared" si="11"/>
        <v>16200</v>
      </c>
      <c r="M35" s="65">
        <f t="shared" si="4"/>
        <v>3000</v>
      </c>
      <c r="N35" s="5"/>
      <c r="O35" s="10">
        <f t="shared" si="5"/>
        <v>13200</v>
      </c>
    </row>
    <row r="36" spans="1:15" ht="13.2">
      <c r="A36" s="134">
        <v>35</v>
      </c>
      <c r="B36" s="66" t="s">
        <v>95</v>
      </c>
      <c r="C36" s="64">
        <v>11</v>
      </c>
      <c r="D36" s="68">
        <v>46239</v>
      </c>
      <c r="E36" s="66" t="s">
        <v>96</v>
      </c>
      <c r="F36" s="7">
        <v>20000</v>
      </c>
      <c r="G36" s="3">
        <v>6000</v>
      </c>
      <c r="H36" s="5"/>
      <c r="I36" s="127">
        <f t="shared" si="0"/>
        <v>4000</v>
      </c>
      <c r="J36" s="128">
        <f t="shared" si="12"/>
        <v>2857.1428571428573</v>
      </c>
      <c r="K36" s="129">
        <f t="shared" si="13"/>
        <v>8571.4285714285725</v>
      </c>
      <c r="L36" s="129">
        <f t="shared" si="11"/>
        <v>12000</v>
      </c>
      <c r="M36" s="65">
        <f t="shared" si="4"/>
        <v>6000</v>
      </c>
      <c r="N36" s="5"/>
      <c r="O36" s="10">
        <f t="shared" si="5"/>
        <v>6000</v>
      </c>
    </row>
    <row r="37" spans="1:15" ht="13.2">
      <c r="A37" s="134">
        <v>36</v>
      </c>
      <c r="B37" s="66" t="s">
        <v>99</v>
      </c>
      <c r="C37" s="64">
        <v>9</v>
      </c>
      <c r="D37" s="68">
        <v>46244</v>
      </c>
      <c r="E37" s="66" t="s">
        <v>25</v>
      </c>
      <c r="F37" s="3">
        <v>24000</v>
      </c>
      <c r="G37" s="3">
        <v>3000</v>
      </c>
      <c r="H37" s="5"/>
      <c r="I37" s="127">
        <f t="shared" si="0"/>
        <v>4800</v>
      </c>
      <c r="J37" s="128">
        <f t="shared" si="12"/>
        <v>3428.5714285714284</v>
      </c>
      <c r="K37" s="129">
        <f t="shared" si="13"/>
        <v>10285.714285714286</v>
      </c>
      <c r="L37" s="129">
        <f t="shared" si="11"/>
        <v>14400</v>
      </c>
      <c r="M37" s="65">
        <f t="shared" si="4"/>
        <v>3000</v>
      </c>
      <c r="N37" s="5"/>
      <c r="O37" s="10">
        <f t="shared" si="5"/>
        <v>11400</v>
      </c>
    </row>
    <row r="38" spans="1:15" ht="13.2">
      <c r="A38" s="134">
        <v>37</v>
      </c>
      <c r="B38" s="66" t="s">
        <v>101</v>
      </c>
      <c r="C38" s="64">
        <v>8</v>
      </c>
      <c r="D38" s="68">
        <v>46244</v>
      </c>
      <c r="E38" s="66" t="s">
        <v>25</v>
      </c>
      <c r="F38" s="3">
        <v>24000</v>
      </c>
      <c r="G38" s="3">
        <v>7200</v>
      </c>
      <c r="H38" s="5"/>
      <c r="I38" s="127">
        <f t="shared" si="0"/>
        <v>4800</v>
      </c>
      <c r="J38" s="128">
        <f t="shared" si="12"/>
        <v>3428.5714285714284</v>
      </c>
      <c r="K38" s="129">
        <f t="shared" si="13"/>
        <v>10285.714285714286</v>
      </c>
      <c r="L38" s="129">
        <f t="shared" si="11"/>
        <v>14400</v>
      </c>
      <c r="M38" s="65">
        <f t="shared" si="4"/>
        <v>7200</v>
      </c>
      <c r="N38" s="5"/>
      <c r="O38" s="10">
        <f t="shared" si="5"/>
        <v>7200</v>
      </c>
    </row>
    <row r="39" spans="1:15" ht="13.2">
      <c r="A39" s="134">
        <v>38</v>
      </c>
      <c r="B39" s="66" t="s">
        <v>103</v>
      </c>
      <c r="C39" s="64">
        <v>10</v>
      </c>
      <c r="D39" s="68">
        <v>46262</v>
      </c>
      <c r="E39" s="66" t="s">
        <v>25</v>
      </c>
      <c r="F39" s="1">
        <v>27000</v>
      </c>
      <c r="G39" s="3">
        <v>7800</v>
      </c>
      <c r="H39" s="5"/>
      <c r="I39" s="127">
        <f t="shared" si="0"/>
        <v>5400</v>
      </c>
      <c r="J39" s="128">
        <f>SUM(F39/6)</f>
        <v>4500</v>
      </c>
      <c r="K39" s="129">
        <f>SUM(J39*2)</f>
        <v>9000</v>
      </c>
      <c r="L39" s="129">
        <f>SUM(I39*2)</f>
        <v>10800</v>
      </c>
      <c r="M39" s="65">
        <f t="shared" si="4"/>
        <v>7800</v>
      </c>
      <c r="N39" s="5"/>
      <c r="O39" s="10">
        <f t="shared" si="5"/>
        <v>3000</v>
      </c>
    </row>
    <row r="40" spans="1:15" ht="13.2">
      <c r="A40" s="134">
        <v>39</v>
      </c>
      <c r="B40" s="66" t="s">
        <v>104</v>
      </c>
      <c r="C40" s="64">
        <v>11</v>
      </c>
      <c r="D40" s="68">
        <v>46267</v>
      </c>
      <c r="E40" s="66" t="s">
        <v>105</v>
      </c>
      <c r="F40" s="3">
        <v>15000</v>
      </c>
      <c r="G40" s="3">
        <v>3000</v>
      </c>
      <c r="H40" s="5"/>
      <c r="I40" s="127">
        <f t="shared" si="0"/>
        <v>3000</v>
      </c>
      <c r="J40" s="128">
        <f t="shared" ref="J40:J49" si="14">SUM(F40/6)</f>
        <v>2500</v>
      </c>
      <c r="K40" s="129">
        <f t="shared" ref="K40:K49" si="15">SUM(J40*2)</f>
        <v>5000</v>
      </c>
      <c r="L40" s="129">
        <f t="shared" ref="L40:L47" si="16">SUM(I40*2)</f>
        <v>6000</v>
      </c>
      <c r="M40" s="65">
        <f t="shared" si="4"/>
        <v>3000</v>
      </c>
      <c r="N40" s="5"/>
      <c r="O40" s="10">
        <f t="shared" si="5"/>
        <v>3000</v>
      </c>
    </row>
    <row r="41" spans="1:15" ht="13.2">
      <c r="A41" s="134">
        <v>40</v>
      </c>
      <c r="B41" s="66" t="s">
        <v>107</v>
      </c>
      <c r="C41" s="64">
        <v>12</v>
      </c>
      <c r="D41" s="68">
        <v>46268</v>
      </c>
      <c r="E41" s="66" t="s">
        <v>32</v>
      </c>
      <c r="F41" s="3">
        <v>21000</v>
      </c>
      <c r="G41" s="3">
        <v>3000</v>
      </c>
      <c r="H41" s="5"/>
      <c r="I41" s="127">
        <f t="shared" si="0"/>
        <v>4200</v>
      </c>
      <c r="J41" s="128">
        <f t="shared" si="14"/>
        <v>3500</v>
      </c>
      <c r="K41" s="129">
        <f t="shared" si="15"/>
        <v>7000</v>
      </c>
      <c r="L41" s="129">
        <f t="shared" si="16"/>
        <v>8400</v>
      </c>
      <c r="M41" s="65">
        <f t="shared" si="4"/>
        <v>3000</v>
      </c>
      <c r="N41" s="5"/>
      <c r="O41" s="10">
        <f t="shared" si="5"/>
        <v>5400</v>
      </c>
    </row>
    <row r="42" spans="1:15" ht="13.2">
      <c r="A42" s="134">
        <v>41</v>
      </c>
      <c r="B42" s="66" t="s">
        <v>109</v>
      </c>
      <c r="C42" s="64">
        <v>8</v>
      </c>
      <c r="D42" s="68">
        <v>46274</v>
      </c>
      <c r="E42" s="66" t="s">
        <v>25</v>
      </c>
      <c r="F42" s="3">
        <v>17500</v>
      </c>
      <c r="G42" s="3">
        <v>3000</v>
      </c>
      <c r="H42" s="5"/>
      <c r="I42" s="127">
        <f t="shared" si="0"/>
        <v>3500</v>
      </c>
      <c r="J42" s="128">
        <f t="shared" si="14"/>
        <v>2916.6666666666665</v>
      </c>
      <c r="K42" s="129">
        <f t="shared" si="15"/>
        <v>5833.333333333333</v>
      </c>
      <c r="L42" s="129">
        <f t="shared" si="16"/>
        <v>7000</v>
      </c>
      <c r="M42" s="65">
        <f t="shared" si="4"/>
        <v>3000</v>
      </c>
      <c r="N42" s="5"/>
      <c r="O42" s="10">
        <f t="shared" si="5"/>
        <v>4000</v>
      </c>
    </row>
    <row r="43" spans="1:15" ht="13.2">
      <c r="A43" s="134">
        <v>42</v>
      </c>
      <c r="B43" s="66" t="s">
        <v>110</v>
      </c>
      <c r="C43" s="64">
        <v>11</v>
      </c>
      <c r="D43" s="68">
        <v>46274</v>
      </c>
      <c r="E43" s="66" t="s">
        <v>25</v>
      </c>
      <c r="F43" s="3">
        <v>12000</v>
      </c>
      <c r="G43" s="3">
        <v>2000</v>
      </c>
      <c r="H43" s="5"/>
      <c r="I43" s="127">
        <f t="shared" si="0"/>
        <v>2400</v>
      </c>
      <c r="J43" s="128">
        <f t="shared" si="14"/>
        <v>2000</v>
      </c>
      <c r="K43" s="129">
        <f t="shared" si="15"/>
        <v>4000</v>
      </c>
      <c r="L43" s="129">
        <f t="shared" si="16"/>
        <v>4800</v>
      </c>
      <c r="M43" s="65">
        <f t="shared" si="4"/>
        <v>2000</v>
      </c>
      <c r="N43" s="5"/>
      <c r="O43" s="10">
        <f t="shared" si="5"/>
        <v>2800</v>
      </c>
    </row>
    <row r="44" spans="1:15" ht="13.2">
      <c r="A44" s="134">
        <v>43</v>
      </c>
      <c r="B44" s="66" t="s">
        <v>113</v>
      </c>
      <c r="C44" s="64">
        <v>11</v>
      </c>
      <c r="D44" s="69" t="s">
        <v>204</v>
      </c>
      <c r="E44" s="66" t="s">
        <v>74</v>
      </c>
      <c r="F44" s="1">
        <v>15000</v>
      </c>
      <c r="G44" s="3">
        <v>3000</v>
      </c>
      <c r="H44" s="5"/>
      <c r="I44" s="127">
        <f t="shared" si="0"/>
        <v>3000</v>
      </c>
      <c r="J44" s="128">
        <f t="shared" si="14"/>
        <v>2500</v>
      </c>
      <c r="K44" s="129">
        <f t="shared" si="15"/>
        <v>5000</v>
      </c>
      <c r="L44" s="129">
        <f t="shared" si="16"/>
        <v>6000</v>
      </c>
      <c r="M44" s="65">
        <f t="shared" si="4"/>
        <v>3000</v>
      </c>
      <c r="N44" s="5"/>
      <c r="O44" s="10">
        <f t="shared" si="5"/>
        <v>3000</v>
      </c>
    </row>
    <row r="45" spans="1:15" ht="13.2">
      <c r="A45" s="134">
        <v>44</v>
      </c>
      <c r="B45" s="66" t="s">
        <v>114</v>
      </c>
      <c r="C45" s="64">
        <v>10</v>
      </c>
      <c r="D45" s="68">
        <v>46281</v>
      </c>
      <c r="E45" s="66" t="s">
        <v>25</v>
      </c>
      <c r="F45" s="1">
        <v>20000</v>
      </c>
      <c r="G45" s="3">
        <v>4000</v>
      </c>
      <c r="H45" s="5"/>
      <c r="I45" s="127">
        <f t="shared" si="0"/>
        <v>4000</v>
      </c>
      <c r="J45" s="128">
        <f t="shared" si="14"/>
        <v>3333.3333333333335</v>
      </c>
      <c r="K45" s="129">
        <f t="shared" si="15"/>
        <v>6666.666666666667</v>
      </c>
      <c r="L45" s="129">
        <f t="shared" si="16"/>
        <v>8000</v>
      </c>
      <c r="M45" s="65">
        <f t="shared" si="4"/>
        <v>4000</v>
      </c>
      <c r="N45" s="5"/>
      <c r="O45" s="10">
        <f t="shared" si="5"/>
        <v>4000</v>
      </c>
    </row>
    <row r="46" spans="1:15" ht="13.2">
      <c r="A46" s="134">
        <v>45</v>
      </c>
      <c r="B46" s="66" t="s">
        <v>115</v>
      </c>
      <c r="C46" s="64">
        <v>9</v>
      </c>
      <c r="D46" s="68">
        <v>46281</v>
      </c>
      <c r="E46" s="66" t="s">
        <v>25</v>
      </c>
      <c r="F46" s="1">
        <v>16500</v>
      </c>
      <c r="G46" s="3">
        <v>3000</v>
      </c>
      <c r="H46" s="5"/>
      <c r="I46" s="127">
        <f t="shared" si="0"/>
        <v>3300</v>
      </c>
      <c r="J46" s="128">
        <f t="shared" si="14"/>
        <v>2750</v>
      </c>
      <c r="K46" s="129">
        <f t="shared" si="15"/>
        <v>5500</v>
      </c>
      <c r="L46" s="129">
        <f t="shared" si="16"/>
        <v>6600</v>
      </c>
      <c r="M46" s="65">
        <f t="shared" si="4"/>
        <v>3000</v>
      </c>
      <c r="N46" s="5"/>
      <c r="O46" s="10">
        <f t="shared" si="5"/>
        <v>3600</v>
      </c>
    </row>
    <row r="47" spans="1:15" ht="13.2">
      <c r="A47" s="134">
        <v>46</v>
      </c>
      <c r="B47" s="66" t="s">
        <v>116</v>
      </c>
      <c r="C47" s="64">
        <v>9</v>
      </c>
      <c r="D47" s="68">
        <v>46284</v>
      </c>
      <c r="E47" s="66" t="s">
        <v>25</v>
      </c>
      <c r="F47" s="1">
        <v>17500</v>
      </c>
      <c r="G47" s="3">
        <v>3000</v>
      </c>
      <c r="H47" s="5"/>
      <c r="I47" s="127">
        <f t="shared" si="0"/>
        <v>3500</v>
      </c>
      <c r="J47" s="128">
        <f t="shared" si="14"/>
        <v>2916.6666666666665</v>
      </c>
      <c r="K47" s="129">
        <f t="shared" si="15"/>
        <v>5833.333333333333</v>
      </c>
      <c r="L47" s="129">
        <f t="shared" si="16"/>
        <v>7000</v>
      </c>
      <c r="M47" s="65">
        <f t="shared" si="4"/>
        <v>3000</v>
      </c>
      <c r="N47" s="5"/>
      <c r="O47" s="10">
        <f t="shared" si="5"/>
        <v>4000</v>
      </c>
    </row>
    <row r="48" spans="1:15" ht="13.2">
      <c r="A48" s="134">
        <v>47</v>
      </c>
      <c r="B48" s="66" t="s">
        <v>117</v>
      </c>
      <c r="C48" s="64">
        <v>8</v>
      </c>
      <c r="D48" s="68">
        <v>46291</v>
      </c>
      <c r="E48" s="66" t="s">
        <v>25</v>
      </c>
      <c r="F48" s="1">
        <v>10500</v>
      </c>
      <c r="G48" s="3">
        <v>2500</v>
      </c>
      <c r="H48" s="5" t="s">
        <v>205</v>
      </c>
      <c r="I48" s="127">
        <f>SUM(F48/3)</f>
        <v>3500</v>
      </c>
      <c r="J48" s="128">
        <f>SUM(F48/4)</f>
        <v>2625</v>
      </c>
      <c r="K48" s="129">
        <f>SUM(J48*1)</f>
        <v>2625</v>
      </c>
      <c r="L48" s="129">
        <f>SUM(I48*2)</f>
        <v>7000</v>
      </c>
      <c r="M48" s="65">
        <f t="shared" si="4"/>
        <v>2500</v>
      </c>
      <c r="N48" s="5"/>
      <c r="O48" s="10">
        <f t="shared" si="5"/>
        <v>4500</v>
      </c>
    </row>
    <row r="49" spans="1:15" ht="13.2">
      <c r="A49" s="134">
        <v>48</v>
      </c>
      <c r="B49" s="131" t="s">
        <v>120</v>
      </c>
      <c r="C49" s="64">
        <v>11</v>
      </c>
      <c r="D49" s="68">
        <v>46291</v>
      </c>
      <c r="E49" s="66" t="s">
        <v>74</v>
      </c>
      <c r="F49" s="1">
        <v>15000</v>
      </c>
      <c r="G49" s="3">
        <v>3000</v>
      </c>
      <c r="H49" s="5" t="s">
        <v>205</v>
      </c>
      <c r="I49" s="127">
        <f t="shared" ref="I49:I55" si="17">SUM(F49/3)</f>
        <v>5000</v>
      </c>
      <c r="J49" s="128">
        <f t="shared" ref="J49:J55" si="18">SUM(F49/3)</f>
        <v>5000</v>
      </c>
      <c r="K49" s="129">
        <f t="shared" ref="K49:K55" si="19">SUM(J49*1)</f>
        <v>5000</v>
      </c>
      <c r="L49" s="129">
        <f t="shared" ref="L49:L55" si="20">SUM(I49*2)</f>
        <v>10000</v>
      </c>
      <c r="M49" s="65">
        <f t="shared" si="4"/>
        <v>3000</v>
      </c>
      <c r="N49" s="5"/>
      <c r="O49" s="10">
        <f t="shared" si="5"/>
        <v>7000</v>
      </c>
    </row>
    <row r="50" spans="1:15" ht="13.2">
      <c r="A50" s="134">
        <v>49</v>
      </c>
      <c r="B50" s="132" t="s">
        <v>123</v>
      </c>
      <c r="C50" s="130">
        <v>8</v>
      </c>
      <c r="D50" s="68">
        <v>46293</v>
      </c>
      <c r="E50" s="66" t="s">
        <v>25</v>
      </c>
      <c r="F50" s="3">
        <v>12500</v>
      </c>
      <c r="G50" s="3">
        <v>4000</v>
      </c>
      <c r="H50" s="5" t="s">
        <v>205</v>
      </c>
      <c r="I50" s="127">
        <f t="shared" si="17"/>
        <v>4166.666666666667</v>
      </c>
      <c r="J50" s="128">
        <f t="shared" si="18"/>
        <v>4166.666666666667</v>
      </c>
      <c r="K50" s="129">
        <f t="shared" si="19"/>
        <v>4166.666666666667</v>
      </c>
      <c r="L50" s="129">
        <f t="shared" si="20"/>
        <v>8333.3333333333339</v>
      </c>
      <c r="M50" s="65">
        <f t="shared" si="4"/>
        <v>4000</v>
      </c>
      <c r="N50" s="5"/>
      <c r="O50" s="10">
        <f t="shared" si="5"/>
        <v>4333.3333333333339</v>
      </c>
    </row>
    <row r="51" spans="1:15" ht="13.2">
      <c r="A51" s="134">
        <v>50</v>
      </c>
      <c r="B51" s="132" t="s">
        <v>124</v>
      </c>
      <c r="C51" s="130">
        <v>12</v>
      </c>
      <c r="D51" s="68">
        <v>46301</v>
      </c>
      <c r="E51" s="5" t="s">
        <v>40</v>
      </c>
      <c r="F51" s="3">
        <v>12000</v>
      </c>
      <c r="G51" s="3">
        <v>3000</v>
      </c>
      <c r="H51" s="5" t="s">
        <v>205</v>
      </c>
      <c r="I51" s="127">
        <f t="shared" si="17"/>
        <v>4000</v>
      </c>
      <c r="J51" s="128">
        <f t="shared" si="18"/>
        <v>4000</v>
      </c>
      <c r="K51" s="129">
        <f t="shared" si="19"/>
        <v>4000</v>
      </c>
      <c r="L51" s="129">
        <f t="shared" si="20"/>
        <v>8000</v>
      </c>
      <c r="M51" s="65">
        <f t="shared" si="4"/>
        <v>3000</v>
      </c>
      <c r="N51" s="5"/>
      <c r="O51" s="10">
        <f t="shared" si="5"/>
        <v>5000</v>
      </c>
    </row>
    <row r="52" spans="1:15" ht="13.2">
      <c r="A52" s="134">
        <v>51</v>
      </c>
      <c r="B52" s="132" t="s">
        <v>126</v>
      </c>
      <c r="C52" s="130">
        <v>9</v>
      </c>
      <c r="D52" s="68">
        <v>46296</v>
      </c>
      <c r="E52" s="66" t="s">
        <v>28</v>
      </c>
      <c r="F52" s="1">
        <v>8000</v>
      </c>
      <c r="G52" s="3">
        <v>3000</v>
      </c>
      <c r="H52" s="5" t="s">
        <v>205</v>
      </c>
      <c r="I52" s="127">
        <f t="shared" si="17"/>
        <v>2666.6666666666665</v>
      </c>
      <c r="J52" s="128">
        <f t="shared" si="18"/>
        <v>2666.6666666666665</v>
      </c>
      <c r="K52" s="129">
        <f t="shared" si="19"/>
        <v>2666.6666666666665</v>
      </c>
      <c r="L52" s="129">
        <f t="shared" si="20"/>
        <v>5333.333333333333</v>
      </c>
      <c r="M52" s="65">
        <f t="shared" si="4"/>
        <v>3000</v>
      </c>
      <c r="N52" s="5"/>
      <c r="O52" s="10">
        <f t="shared" si="5"/>
        <v>2333.333333333333</v>
      </c>
    </row>
    <row r="53" spans="1:15" ht="13.2">
      <c r="A53" s="134">
        <v>52</v>
      </c>
      <c r="B53" s="143" t="s">
        <v>230</v>
      </c>
      <c r="C53" s="64">
        <v>9</v>
      </c>
      <c r="D53" s="68">
        <v>46305</v>
      </c>
      <c r="E53" s="66" t="s">
        <v>25</v>
      </c>
      <c r="F53" s="1">
        <v>10500</v>
      </c>
      <c r="G53" s="3">
        <v>2500</v>
      </c>
      <c r="H53" s="5" t="s">
        <v>205</v>
      </c>
      <c r="I53" s="127">
        <f t="shared" si="17"/>
        <v>3500</v>
      </c>
      <c r="J53" s="128">
        <f t="shared" si="18"/>
        <v>3500</v>
      </c>
      <c r="K53" s="129">
        <f t="shared" si="19"/>
        <v>3500</v>
      </c>
      <c r="L53" s="129">
        <f t="shared" si="20"/>
        <v>7000</v>
      </c>
      <c r="M53" s="65">
        <f t="shared" si="4"/>
        <v>2500</v>
      </c>
      <c r="N53" s="5"/>
      <c r="O53" s="10">
        <f t="shared" si="5"/>
        <v>4500</v>
      </c>
    </row>
    <row r="54" spans="1:15" ht="15.75" customHeight="1">
      <c r="A54" s="134">
        <v>53</v>
      </c>
      <c r="B54" s="143" t="s">
        <v>231</v>
      </c>
      <c r="C54" s="64">
        <v>12</v>
      </c>
      <c r="D54" s="68">
        <v>46306</v>
      </c>
      <c r="E54" s="66" t="s">
        <v>25</v>
      </c>
      <c r="F54" s="1">
        <v>12000</v>
      </c>
      <c r="G54" s="3">
        <v>3000</v>
      </c>
      <c r="H54" s="5" t="s">
        <v>205</v>
      </c>
      <c r="I54" s="127">
        <f t="shared" si="17"/>
        <v>4000</v>
      </c>
      <c r="J54" s="128">
        <f t="shared" si="18"/>
        <v>4000</v>
      </c>
      <c r="K54" s="129">
        <f t="shared" si="19"/>
        <v>4000</v>
      </c>
      <c r="L54" s="129">
        <f t="shared" si="20"/>
        <v>8000</v>
      </c>
      <c r="M54" s="65">
        <f t="shared" si="4"/>
        <v>3000</v>
      </c>
      <c r="O54" s="10">
        <f t="shared" si="5"/>
        <v>5000</v>
      </c>
    </row>
    <row r="55" spans="1:15" ht="15.75" customHeight="1">
      <c r="A55" s="134">
        <v>54</v>
      </c>
      <c r="B55" s="143" t="s">
        <v>232</v>
      </c>
      <c r="C55" s="64">
        <v>9</v>
      </c>
      <c r="D55" s="68">
        <v>46307</v>
      </c>
      <c r="E55" s="66" t="s">
        <v>25</v>
      </c>
      <c r="F55" s="1">
        <v>15000</v>
      </c>
      <c r="G55" s="3">
        <v>3000</v>
      </c>
      <c r="H55" s="5"/>
      <c r="I55" s="127">
        <f t="shared" si="17"/>
        <v>5000</v>
      </c>
      <c r="J55" s="128">
        <f t="shared" si="18"/>
        <v>5000</v>
      </c>
      <c r="K55" s="129">
        <f t="shared" si="19"/>
        <v>5000</v>
      </c>
      <c r="L55" s="129">
        <f t="shared" si="20"/>
        <v>10000</v>
      </c>
      <c r="M55" s="65">
        <f t="shared" si="4"/>
        <v>3000</v>
      </c>
      <c r="O55" s="10">
        <f t="shared" si="5"/>
        <v>7000</v>
      </c>
    </row>
    <row r="56" spans="1:15" ht="15.75" customHeight="1">
      <c r="A56" s="134"/>
      <c r="B56" s="131"/>
      <c r="C56" s="64"/>
      <c r="D56" s="68"/>
      <c r="E56" s="66"/>
      <c r="F56" s="1"/>
      <c r="G56" s="3"/>
      <c r="H56" s="5"/>
      <c r="I56" s="127">
        <f t="shared" ref="I52:I57" si="21">SUM(F56/5)</f>
        <v>0</v>
      </c>
      <c r="J56" s="128">
        <f t="shared" ref="J53:J57" si="22">SUM(F56/6)</f>
        <v>0</v>
      </c>
      <c r="K56" s="129">
        <f t="shared" ref="K53:K57" si="23">SUM(J56*2)</f>
        <v>0</v>
      </c>
      <c r="L56" s="129">
        <f t="shared" ref="L56:L57" si="24">SUM(I56*1)</f>
        <v>0</v>
      </c>
      <c r="M56" s="65">
        <f t="shared" si="4"/>
        <v>0</v>
      </c>
      <c r="O56" s="10">
        <f t="shared" si="5"/>
        <v>0</v>
      </c>
    </row>
    <row r="57" spans="1:15" ht="15.75" customHeight="1">
      <c r="A57" s="134"/>
      <c r="B57" s="132"/>
      <c r="C57" s="130"/>
      <c r="D57" s="68"/>
      <c r="E57" s="66"/>
      <c r="F57" s="3"/>
      <c r="G57" s="3"/>
      <c r="H57" s="5"/>
      <c r="I57" s="127">
        <f t="shared" si="21"/>
        <v>0</v>
      </c>
      <c r="J57" s="128">
        <f t="shared" si="22"/>
        <v>0</v>
      </c>
      <c r="K57" s="129">
        <f>SUM(J57*1)</f>
        <v>0</v>
      </c>
      <c r="L57" s="129">
        <f t="shared" si="24"/>
        <v>0</v>
      </c>
      <c r="M57" s="66"/>
      <c r="O57" s="10">
        <f t="shared" si="5"/>
        <v>0</v>
      </c>
    </row>
    <row r="58" spans="1:15" ht="15.75" customHeight="1">
      <c r="A58" s="134"/>
      <c r="B58" s="132"/>
      <c r="C58" s="130"/>
      <c r="D58" s="68"/>
      <c r="E58" s="66"/>
      <c r="F58" s="1"/>
      <c r="G58" s="3"/>
      <c r="H58" s="5"/>
      <c r="I58" s="127"/>
      <c r="J58" s="128"/>
      <c r="K58" s="129"/>
      <c r="L58" s="129"/>
      <c r="M58" s="66"/>
      <c r="O58" s="10">
        <f t="shared" si="5"/>
        <v>0</v>
      </c>
    </row>
    <row r="60" spans="1:15" ht="15.75" customHeight="1">
      <c r="B60" s="15"/>
      <c r="C60" s="15" t="s">
        <v>201</v>
      </c>
      <c r="D60" s="15"/>
      <c r="E60" s="15"/>
      <c r="F60" s="15"/>
      <c r="G60" s="15"/>
      <c r="H60" s="15"/>
      <c r="I60" s="15">
        <f>SUM(I2:I58)</f>
        <v>216833.33333333331</v>
      </c>
      <c r="J60" s="70">
        <f>SUM(J2:J58)</f>
        <v>153723.21428571429</v>
      </c>
      <c r="K60" s="71">
        <f>SUM(K2:K58)</f>
        <v>488398.80952380947</v>
      </c>
      <c r="L60" s="71">
        <f>SUM(L2:L58)</f>
        <v>756766.66666666674</v>
      </c>
      <c r="M60" s="74">
        <f>SUM(M2:M58)</f>
        <v>421500</v>
      </c>
      <c r="O60" s="11">
        <f>SUM(O2:O58)</f>
        <v>338266.66666666663</v>
      </c>
    </row>
    <row r="61" spans="1:15" ht="15.75" customHeight="1">
      <c r="I61" s="11" t="s">
        <v>213</v>
      </c>
      <c r="J61" s="78" t="s">
        <v>206</v>
      </c>
      <c r="K61" s="78" t="s">
        <v>207</v>
      </c>
      <c r="L61" s="78"/>
      <c r="M61" s="78" t="s">
        <v>208</v>
      </c>
    </row>
    <row r="62" spans="1:15" ht="15.75" customHeight="1">
      <c r="J62" s="12"/>
      <c r="K62" s="12"/>
      <c r="L62" s="12"/>
      <c r="M62" s="73"/>
    </row>
    <row r="63" spans="1:15" ht="15.75" customHeight="1">
      <c r="C63" s="82"/>
      <c r="D63" s="82"/>
      <c r="E63" s="82"/>
      <c r="F63" s="82"/>
      <c r="G63" s="82"/>
      <c r="H63" s="82"/>
      <c r="I63" s="91"/>
      <c r="J63" s="147" t="s">
        <v>209</v>
      </c>
      <c r="K63" s="148">
        <f>SUM(K60-M60)</f>
        <v>66898.809523809468</v>
      </c>
      <c r="L63" s="148">
        <f>SUM(L60-M60)</f>
        <v>335266.66666666674</v>
      </c>
      <c r="M63" s="10"/>
    </row>
    <row r="64" spans="1:15" ht="15.75" customHeight="1">
      <c r="J64" s="11"/>
      <c r="M64" s="10"/>
    </row>
  </sheetData>
  <dataValidations count="2">
    <dataValidation type="list" allowBlank="1" showErrorMessage="1" sqref="E2:E3 E5 E7:E8 E10 E12 E14 E16:E18 E20:E22 E25 E27:E31 E34:E39 E41:E50 E53:E57" xr:uid="{00000000-0002-0000-0100-000000000000}">
      <formula1>"Bio Sci,Comp Sci,All Subject,PC,PCB"</formula1>
    </dataValidation>
    <dataValidation type="list" allowBlank="1" showErrorMessage="1" sqref="C2:C58" xr:uid="{00000000-0002-0000-0100-000001000000}">
      <formula1>"8,9,10,11,12,Homeschool "</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B4A58-5A1E-43DA-B52F-AA0FE1F29F1F}">
  <dimension ref="A1"/>
  <sheetViews>
    <sheetView tabSelected="1" workbookViewId="0">
      <selection activeCell="E14" sqref="E14"/>
    </sheetView>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11</vt:lpstr>
      <vt:lpstr>13</vt:lpstr>
      <vt:lpstr>Micro</vt:lpstr>
      <vt:lpstr>1M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SHAFI VK</cp:lastModifiedBy>
  <dcterms:modified xsi:type="dcterms:W3CDTF">2026-10-16T14:24:33Z</dcterms:modified>
</cp:coreProperties>
</file>